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IX_A_2\Desktop\ADMINISTRASI UMUM EXCEL &amp; JPG\"/>
    </mc:Choice>
  </mc:AlternateContent>
  <xr:revisionPtr revIDLastSave="0" documentId="13_ncr:1_{49EF6031-83E9-418B-90DF-56EEFBD96C3C}" xr6:coauthVersionLast="47" xr6:coauthVersionMax="47" xr10:uidLastSave="{00000000-0000-0000-0000-000000000000}"/>
  <bookViews>
    <workbookView xWindow="-120" yWindow="-120" windowWidth="20730" windowHeight="11160" activeTab="2" xr2:uid="{66026539-0165-4844-97E7-B59DF767424E}"/>
  </bookViews>
  <sheets>
    <sheet name="DATA BARANG" sheetId="1" r:id="rId1"/>
    <sheet name="BARANG MASUK" sheetId="2" r:id="rId2"/>
    <sheet name="BARANG KELUA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2" i="3" l="1"/>
  <c r="D17" i="3"/>
  <c r="D6" i="1"/>
  <c r="E6" i="1"/>
  <c r="A9" i="3"/>
  <c r="D9" i="3"/>
  <c r="A10" i="3"/>
  <c r="D10" i="3"/>
  <c r="A11" i="3"/>
  <c r="D11" i="3"/>
  <c r="A12" i="3"/>
  <c r="D12" i="3"/>
  <c r="A13" i="3"/>
  <c r="D13" i="3"/>
  <c r="A14" i="3"/>
  <c r="D14" i="3"/>
  <c r="A15" i="3"/>
  <c r="D15" i="3"/>
  <c r="A16" i="3"/>
  <c r="D16" i="3"/>
  <c r="A17" i="3"/>
  <c r="A18" i="3"/>
  <c r="D18" i="3"/>
  <c r="A19" i="3"/>
  <c r="D19" i="3"/>
  <c r="A20" i="3"/>
  <c r="D20" i="3"/>
  <c r="A21" i="3"/>
  <c r="D21" i="3"/>
  <c r="A22" i="3"/>
  <c r="D22" i="3"/>
  <c r="A23" i="3"/>
  <c r="D23" i="3"/>
  <c r="A24" i="3"/>
  <c r="D24" i="3"/>
  <c r="A25" i="3"/>
  <c r="D25" i="3"/>
  <c r="A26" i="3"/>
  <c r="D26" i="3"/>
  <c r="A27" i="3"/>
  <c r="D27" i="3"/>
  <c r="A28" i="3"/>
  <c r="D28" i="3"/>
  <c r="A29" i="3"/>
  <c r="D29" i="3"/>
  <c r="A30" i="3"/>
  <c r="D30" i="3"/>
  <c r="A31" i="3"/>
  <c r="D31" i="3"/>
  <c r="A32" i="3"/>
  <c r="A33" i="3"/>
  <c r="D33" i="3"/>
  <c r="A34" i="3"/>
  <c r="D34" i="3"/>
  <c r="A35" i="3"/>
  <c r="D35" i="3"/>
  <c r="A36" i="3"/>
  <c r="D36" i="3"/>
  <c r="A37" i="3"/>
  <c r="D37" i="3"/>
  <c r="A38" i="3"/>
  <c r="D38" i="3"/>
  <c r="A39" i="3"/>
  <c r="D39" i="3"/>
  <c r="A40" i="3"/>
  <c r="D40" i="3"/>
  <c r="A41" i="3"/>
  <c r="D41" i="3"/>
  <c r="A42" i="3"/>
  <c r="D42" i="3"/>
  <c r="A43" i="3"/>
  <c r="D43" i="3"/>
  <c r="A44" i="3"/>
  <c r="D44" i="3"/>
  <c r="A45" i="3"/>
  <c r="D45" i="3"/>
  <c r="A46" i="3"/>
  <c r="D46" i="3"/>
  <c r="A47" i="3"/>
  <c r="D47" i="3"/>
  <c r="A48" i="3"/>
  <c r="D48" i="3"/>
  <c r="A49" i="3"/>
  <c r="D49" i="3"/>
  <c r="A50" i="3"/>
  <c r="D50" i="3"/>
  <c r="A51" i="3"/>
  <c r="D51" i="3"/>
  <c r="A52" i="3"/>
  <c r="D52" i="3"/>
  <c r="A53" i="3"/>
  <c r="D53" i="3"/>
  <c r="A54" i="3"/>
  <c r="D54" i="3"/>
  <c r="A55" i="3"/>
  <c r="D55" i="3"/>
  <c r="A56" i="3"/>
  <c r="D56" i="3"/>
  <c r="A57" i="3"/>
  <c r="D57" i="3"/>
  <c r="A58" i="3"/>
  <c r="D58" i="3"/>
  <c r="A59" i="3"/>
  <c r="D59" i="3"/>
  <c r="A60" i="3"/>
  <c r="D60" i="3"/>
  <c r="A61" i="3"/>
  <c r="D61" i="3"/>
  <c r="A62" i="3"/>
  <c r="D62" i="3"/>
  <c r="A63" i="3"/>
  <c r="D63" i="3"/>
  <c r="A64" i="3"/>
  <c r="D64" i="3"/>
  <c r="A65" i="3"/>
  <c r="D65" i="3"/>
  <c r="A66" i="3"/>
  <c r="D66" i="3"/>
  <c r="A67" i="3"/>
  <c r="D67" i="3"/>
  <c r="A68" i="3"/>
  <c r="D68" i="3"/>
  <c r="A69" i="3"/>
  <c r="D69" i="3"/>
  <c r="A70" i="3"/>
  <c r="D70" i="3"/>
  <c r="A71" i="3"/>
  <c r="D71" i="3"/>
  <c r="A72" i="3"/>
  <c r="D72" i="3"/>
  <c r="A73" i="3"/>
  <c r="D73" i="3"/>
  <c r="A74" i="3"/>
  <c r="D74" i="3"/>
  <c r="A75" i="3"/>
  <c r="D75" i="3"/>
  <c r="A76" i="3"/>
  <c r="D76" i="3"/>
  <c r="A77" i="3"/>
  <c r="D77" i="3"/>
  <c r="A78" i="3"/>
  <c r="D78" i="3"/>
  <c r="A79" i="3"/>
  <c r="D79" i="3"/>
  <c r="A80" i="3"/>
  <c r="D80" i="3"/>
  <c r="A81" i="3"/>
  <c r="D81" i="3"/>
  <c r="A82" i="3"/>
  <c r="D82" i="3"/>
  <c r="A83" i="3"/>
  <c r="D83" i="3"/>
  <c r="A84" i="3"/>
  <c r="D84" i="3"/>
  <c r="A85" i="3"/>
  <c r="D85" i="3"/>
  <c r="A86" i="3"/>
  <c r="D86" i="3"/>
  <c r="A87" i="3"/>
  <c r="D87" i="3"/>
  <c r="A88" i="3"/>
  <c r="D88" i="3"/>
  <c r="A89" i="3"/>
  <c r="D89" i="3"/>
  <c r="A90" i="3"/>
  <c r="D90" i="3"/>
  <c r="A91" i="3"/>
  <c r="D91" i="3"/>
  <c r="A92" i="3"/>
  <c r="D92" i="3"/>
  <c r="A93" i="3"/>
  <c r="D93" i="3"/>
  <c r="A94" i="3"/>
  <c r="D94" i="3"/>
  <c r="A95" i="3"/>
  <c r="D95" i="3"/>
  <c r="A96" i="3"/>
  <c r="D96" i="3"/>
  <c r="A97" i="3"/>
  <c r="D97" i="3"/>
  <c r="A98" i="3"/>
  <c r="D98" i="3"/>
  <c r="A99" i="3"/>
  <c r="D99" i="3"/>
  <c r="A100" i="3"/>
  <c r="D100" i="3"/>
  <c r="A101" i="3"/>
  <c r="D101" i="3"/>
  <c r="A102" i="3"/>
  <c r="D102" i="3"/>
  <c r="A103" i="3"/>
  <c r="D103" i="3"/>
  <c r="A104" i="3"/>
  <c r="D104" i="3"/>
  <c r="A105" i="3"/>
  <c r="D105" i="3"/>
  <c r="A106" i="3"/>
  <c r="D106" i="3"/>
  <c r="A107" i="3"/>
  <c r="D107" i="3"/>
  <c r="A108" i="3"/>
  <c r="D108" i="3"/>
  <c r="A109" i="3"/>
  <c r="D109" i="3"/>
  <c r="A110" i="3"/>
  <c r="D110" i="3"/>
  <c r="A111" i="3"/>
  <c r="D111" i="3"/>
  <c r="A112" i="3"/>
  <c r="D112" i="3"/>
  <c r="A113" i="3"/>
  <c r="D113" i="3"/>
  <c r="A114" i="3"/>
  <c r="D114" i="3"/>
  <c r="A115" i="3"/>
  <c r="D115" i="3"/>
  <c r="A116" i="3"/>
  <c r="D116" i="3"/>
  <c r="A117" i="3"/>
  <c r="D117" i="3"/>
  <c r="A118" i="3"/>
  <c r="D118" i="3"/>
  <c r="A119" i="3"/>
  <c r="D119" i="3"/>
  <c r="A120" i="3"/>
  <c r="D120" i="3"/>
  <c r="A121" i="3"/>
  <c r="D121" i="3"/>
  <c r="A122" i="3"/>
  <c r="D122" i="3"/>
  <c r="A123" i="3"/>
  <c r="D123" i="3"/>
  <c r="A124" i="3"/>
  <c r="D124" i="3"/>
  <c r="A125" i="3"/>
  <c r="D125" i="3"/>
  <c r="A126" i="3"/>
  <c r="D126" i="3"/>
  <c r="A127" i="3"/>
  <c r="D127" i="3"/>
  <c r="A128" i="3"/>
  <c r="D128" i="3"/>
  <c r="A129" i="3"/>
  <c r="D129" i="3"/>
  <c r="A130" i="3"/>
  <c r="D130" i="3"/>
  <c r="A131" i="3"/>
  <c r="D131" i="3"/>
  <c r="A132" i="3"/>
  <c r="D132" i="3"/>
  <c r="A133" i="3"/>
  <c r="D133" i="3"/>
  <c r="A134" i="3"/>
  <c r="D134" i="3"/>
  <c r="A135" i="3"/>
  <c r="D135" i="3"/>
  <c r="A136" i="3"/>
  <c r="D136" i="3"/>
  <c r="A137" i="3"/>
  <c r="D137" i="3"/>
  <c r="A138" i="3"/>
  <c r="D138" i="3"/>
  <c r="A139" i="3"/>
  <c r="D139" i="3"/>
  <c r="A140" i="3"/>
  <c r="D140" i="3"/>
  <c r="A141" i="3"/>
  <c r="D141" i="3"/>
  <c r="A142" i="3"/>
  <c r="D142" i="3"/>
  <c r="A143" i="3"/>
  <c r="D143" i="3"/>
  <c r="A144" i="3"/>
  <c r="D144" i="3"/>
  <c r="A145" i="3"/>
  <c r="D145" i="3"/>
  <c r="A146" i="3"/>
  <c r="D146" i="3"/>
  <c r="A147" i="3"/>
  <c r="D147" i="3"/>
  <c r="A148" i="3"/>
  <c r="D148" i="3"/>
  <c r="A149" i="3"/>
  <c r="D149" i="3"/>
  <c r="A150" i="3"/>
  <c r="D150" i="3"/>
  <c r="A151" i="3"/>
  <c r="D151" i="3"/>
  <c r="A152" i="3"/>
  <c r="D152" i="3"/>
  <c r="A153" i="3"/>
  <c r="D153" i="3"/>
  <c r="A154" i="3"/>
  <c r="D154" i="3"/>
  <c r="A155" i="3"/>
  <c r="D155" i="3"/>
  <c r="A156" i="3"/>
  <c r="D156" i="3"/>
  <c r="A157" i="3"/>
  <c r="D157" i="3"/>
  <c r="A158" i="3"/>
  <c r="D158" i="3"/>
  <c r="A159" i="3"/>
  <c r="D159" i="3"/>
  <c r="A160" i="3"/>
  <c r="D160" i="3"/>
  <c r="A161" i="3"/>
  <c r="D161" i="3"/>
  <c r="A162" i="3"/>
  <c r="D162" i="3"/>
  <c r="A163" i="3"/>
  <c r="D163" i="3"/>
  <c r="A164" i="3"/>
  <c r="D164" i="3"/>
  <c r="A165" i="3"/>
  <c r="D165" i="3"/>
  <c r="A166" i="3"/>
  <c r="D166" i="3"/>
  <c r="A167" i="3"/>
  <c r="D167" i="3"/>
  <c r="A168" i="3"/>
  <c r="D168" i="3"/>
  <c r="A169" i="3"/>
  <c r="D169" i="3"/>
  <c r="A170" i="3"/>
  <c r="D170" i="3"/>
  <c r="A171" i="3"/>
  <c r="D171" i="3"/>
  <c r="A172" i="3"/>
  <c r="D172" i="3"/>
  <c r="A173" i="3"/>
  <c r="D173" i="3"/>
  <c r="A174" i="3"/>
  <c r="D174" i="3"/>
  <c r="A175" i="3"/>
  <c r="D175" i="3"/>
  <c r="A176" i="3"/>
  <c r="D176" i="3"/>
  <c r="A177" i="3"/>
  <c r="D177" i="3"/>
  <c r="A178" i="3"/>
  <c r="D178" i="3"/>
  <c r="A179" i="3"/>
  <c r="D179" i="3"/>
  <c r="A180" i="3"/>
  <c r="D180" i="3"/>
  <c r="A181" i="3"/>
  <c r="D181" i="3"/>
  <c r="A182" i="3"/>
  <c r="D182" i="3"/>
  <c r="A183" i="3"/>
  <c r="D183" i="3"/>
  <c r="A184" i="3"/>
  <c r="D184" i="3"/>
  <c r="A185" i="3"/>
  <c r="D185" i="3"/>
  <c r="A186" i="3"/>
  <c r="D186" i="3"/>
  <c r="A187" i="3"/>
  <c r="D187" i="3"/>
  <c r="A188" i="3"/>
  <c r="D188" i="3"/>
  <c r="A189" i="3"/>
  <c r="D189" i="3"/>
  <c r="A190" i="3"/>
  <c r="D190" i="3"/>
  <c r="A191" i="3"/>
  <c r="D191" i="3"/>
  <c r="A192" i="3"/>
  <c r="D192" i="3"/>
  <c r="A193" i="3"/>
  <c r="D193" i="3"/>
  <c r="A194" i="3"/>
  <c r="D194" i="3"/>
  <c r="A195" i="3"/>
  <c r="D195" i="3"/>
  <c r="A196" i="3"/>
  <c r="D196" i="3"/>
  <c r="A197" i="3"/>
  <c r="D197" i="3"/>
  <c r="A198" i="3"/>
  <c r="D198" i="3"/>
  <c r="A199" i="3"/>
  <c r="D199" i="3"/>
  <c r="A200" i="3"/>
  <c r="D200" i="3"/>
  <c r="A201" i="3"/>
  <c r="D201" i="3"/>
  <c r="A202" i="3"/>
  <c r="D202" i="3"/>
  <c r="A203" i="3"/>
  <c r="D203" i="3"/>
  <c r="A204" i="3"/>
  <c r="D204" i="3"/>
  <c r="A205" i="3"/>
  <c r="D205" i="3"/>
  <c r="A206" i="3"/>
  <c r="D206" i="3"/>
  <c r="A207" i="3"/>
  <c r="D207" i="3"/>
  <c r="A208" i="3"/>
  <c r="D208" i="3"/>
  <c r="A209" i="3"/>
  <c r="D209" i="3"/>
  <c r="A210" i="3"/>
  <c r="D210" i="3"/>
  <c r="A211" i="3"/>
  <c r="D211" i="3"/>
  <c r="A212" i="3"/>
  <c r="D212" i="3"/>
  <c r="A213" i="3"/>
  <c r="D213" i="3"/>
  <c r="A214" i="3"/>
  <c r="D214" i="3"/>
  <c r="A215" i="3"/>
  <c r="D215" i="3"/>
  <c r="A216" i="3"/>
  <c r="D216" i="3"/>
  <c r="A217" i="3"/>
  <c r="D217" i="3"/>
  <c r="A218" i="3"/>
  <c r="D218" i="3"/>
  <c r="A219" i="3"/>
  <c r="D219" i="3"/>
  <c r="A220" i="3"/>
  <c r="D220" i="3"/>
  <c r="A221" i="3"/>
  <c r="D221" i="3"/>
  <c r="A222" i="3"/>
  <c r="D222" i="3"/>
  <c r="A223" i="3"/>
  <c r="D223" i="3"/>
  <c r="A224" i="3"/>
  <c r="D224" i="3"/>
  <c r="A225" i="3"/>
  <c r="D225" i="3"/>
  <c r="A226" i="3"/>
  <c r="D226" i="3"/>
  <c r="A227" i="3"/>
  <c r="D227" i="3"/>
  <c r="A228" i="3"/>
  <c r="D228" i="3"/>
  <c r="A229" i="3"/>
  <c r="D229" i="3"/>
  <c r="A230" i="3"/>
  <c r="D230" i="3"/>
  <c r="A231" i="3"/>
  <c r="D231" i="3"/>
  <c r="A232" i="3"/>
  <c r="D232" i="3"/>
  <c r="A233" i="3"/>
  <c r="D233" i="3"/>
  <c r="A234" i="3"/>
  <c r="D234" i="3"/>
  <c r="A235" i="3"/>
  <c r="D235" i="3"/>
  <c r="A236" i="3"/>
  <c r="D236" i="3"/>
  <c r="A237" i="3"/>
  <c r="D237" i="3"/>
  <c r="A238" i="3"/>
  <c r="D238" i="3"/>
  <c r="A239" i="3"/>
  <c r="D239" i="3"/>
  <c r="A240" i="3"/>
  <c r="D240" i="3"/>
  <c r="A241" i="3"/>
  <c r="D241" i="3"/>
  <c r="A242" i="3"/>
  <c r="D242" i="3"/>
  <c r="A243" i="3"/>
  <c r="D243" i="3"/>
  <c r="A244" i="3"/>
  <c r="D244" i="3"/>
  <c r="A245" i="3"/>
  <c r="D245" i="3"/>
  <c r="A246" i="3"/>
  <c r="D246" i="3"/>
  <c r="A247" i="3"/>
  <c r="D247" i="3"/>
  <c r="A248" i="3"/>
  <c r="D248" i="3"/>
  <c r="A249" i="3"/>
  <c r="D249" i="3"/>
  <c r="F6" i="1" l="1"/>
  <c r="D56" i="1"/>
  <c r="E56" i="1"/>
  <c r="D57" i="1"/>
  <c r="E57" i="1"/>
  <c r="D58" i="1"/>
  <c r="E58" i="1"/>
  <c r="D59" i="1"/>
  <c r="E59" i="1"/>
  <c r="D60" i="1"/>
  <c r="E60" i="1"/>
  <c r="D61" i="1"/>
  <c r="E61" i="1"/>
  <c r="D62" i="1"/>
  <c r="E62" i="1"/>
  <c r="D63" i="1"/>
  <c r="E63" i="1"/>
  <c r="D64" i="1"/>
  <c r="E64" i="1"/>
  <c r="D39" i="1"/>
  <c r="E39" i="1"/>
  <c r="D49" i="1"/>
  <c r="E49" i="1"/>
  <c r="D50" i="1"/>
  <c r="E50" i="1"/>
  <c r="D51" i="1"/>
  <c r="E51" i="1"/>
  <c r="D52" i="1"/>
  <c r="E52" i="1"/>
  <c r="D53" i="1"/>
  <c r="E53" i="1"/>
  <c r="D54" i="1"/>
  <c r="E54" i="1"/>
  <c r="D55" i="1"/>
  <c r="E55" i="1"/>
  <c r="D37" i="1"/>
  <c r="E37" i="1"/>
  <c r="D38" i="1"/>
  <c r="E38" i="1"/>
  <c r="D40" i="1"/>
  <c r="E40" i="1"/>
  <c r="D41" i="1"/>
  <c r="E41" i="1"/>
  <c r="D42" i="1"/>
  <c r="E42" i="1"/>
  <c r="D43" i="1"/>
  <c r="E43" i="1"/>
  <c r="D44" i="1"/>
  <c r="E44" i="1"/>
  <c r="D45" i="1"/>
  <c r="E45" i="1"/>
  <c r="D46" i="1"/>
  <c r="E46" i="1"/>
  <c r="D47" i="1"/>
  <c r="E47" i="1"/>
  <c r="D48" i="1"/>
  <c r="E48" i="1"/>
  <c r="F63" i="1" l="1"/>
  <c r="F59" i="1"/>
  <c r="F62" i="1"/>
  <c r="F58" i="1"/>
  <c r="F61" i="1"/>
  <c r="F60" i="1"/>
  <c r="F64" i="1"/>
  <c r="F57" i="1"/>
  <c r="F52" i="1"/>
  <c r="F39" i="1"/>
  <c r="F56" i="1"/>
  <c r="F49" i="1"/>
  <c r="F55" i="1"/>
  <c r="F54" i="1"/>
  <c r="F50" i="1"/>
  <c r="F42" i="1"/>
  <c r="F37" i="1"/>
  <c r="F53" i="1"/>
  <c r="F51" i="1"/>
  <c r="F45" i="1"/>
  <c r="F46" i="1"/>
  <c r="F41" i="1"/>
  <c r="F47" i="1"/>
  <c r="F44" i="1"/>
  <c r="F38" i="1"/>
  <c r="F48" i="1"/>
  <c r="F43" i="1"/>
  <c r="F40" i="1"/>
  <c r="A4" i="3"/>
  <c r="A5" i="3"/>
  <c r="A6" i="3"/>
  <c r="A7" i="3"/>
  <c r="A8" i="3"/>
  <c r="A4" i="2"/>
  <c r="A5" i="2"/>
  <c r="A6" i="2"/>
  <c r="A7" i="2"/>
  <c r="A8" i="2"/>
  <c r="E5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D5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4" i="3"/>
  <c r="D5" i="3"/>
  <c r="D6" i="3"/>
  <c r="D7" i="3"/>
  <c r="D8" i="3"/>
  <c r="D4" i="2"/>
  <c r="D5" i="2"/>
  <c r="D6" i="2"/>
  <c r="D7" i="2"/>
  <c r="D8" i="2"/>
  <c r="F18" i="1" l="1"/>
  <c r="F7" i="1"/>
  <c r="F15" i="1"/>
  <c r="F11" i="1"/>
  <c r="F25" i="1"/>
  <c r="F22" i="1"/>
  <c r="F21" i="1"/>
  <c r="F17" i="1"/>
  <c r="F14" i="1"/>
  <c r="F10" i="1"/>
  <c r="F5" i="1"/>
  <c r="F24" i="1"/>
  <c r="F35" i="1"/>
  <c r="F27" i="1"/>
  <c r="F20" i="1"/>
  <c r="F13" i="1"/>
  <c r="F9" i="1"/>
  <c r="F34" i="1"/>
  <c r="F30" i="1"/>
  <c r="F26" i="1"/>
  <c r="F23" i="1"/>
  <c r="F19" i="1"/>
  <c r="F16" i="1"/>
  <c r="F12" i="1"/>
  <c r="F8" i="1"/>
  <c r="F31" i="1"/>
  <c r="F33" i="1"/>
  <c r="F29" i="1"/>
  <c r="F36" i="1"/>
  <c r="F32" i="1"/>
  <c r="F28" i="1"/>
</calcChain>
</file>

<file path=xl/sharedStrings.xml><?xml version="1.0" encoding="utf-8"?>
<sst xmlns="http://schemas.openxmlformats.org/spreadsheetml/2006/main" count="450" uniqueCount="121">
  <si>
    <t>ROUTER F660</t>
  </si>
  <si>
    <t>ROSET</t>
  </si>
  <si>
    <t>PATHCORD</t>
  </si>
  <si>
    <t>SOLASI HITAM</t>
  </si>
  <si>
    <t>KLEM PAKU</t>
  </si>
  <si>
    <t>KABEL FO 1 CORE</t>
  </si>
  <si>
    <t>SOLASI FRAGILE</t>
  </si>
  <si>
    <t>SLEEVE PROTECTOR (BESAR)</t>
  </si>
  <si>
    <t>SLEEVE PROTECTOR (KECIL)</t>
  </si>
  <si>
    <t>SELING ODP</t>
  </si>
  <si>
    <t>PIGTAIL PAZ</t>
  </si>
  <si>
    <t xml:space="preserve">PIGTAIL </t>
  </si>
  <si>
    <t>KASET FO</t>
  </si>
  <si>
    <t>JOINT CLOSURE 12 CORE</t>
  </si>
  <si>
    <t xml:space="preserve">ODP TARMOC 8 CORE </t>
  </si>
  <si>
    <t xml:space="preserve">SPLITTER TARMOC 1:16 </t>
  </si>
  <si>
    <t>SPLITTER TARMOC 1:8</t>
  </si>
  <si>
    <t xml:space="preserve">JOINT CLOSURE KECIL </t>
  </si>
  <si>
    <t>JOINT CLOSURE BESAR</t>
  </si>
  <si>
    <t>LC CLICK CLEANER</t>
  </si>
  <si>
    <t xml:space="preserve">OTB TARMOC 24 TERMINAL </t>
  </si>
  <si>
    <t>RJ45 BIASA (BIRU)</t>
  </si>
  <si>
    <t>RJ45 BELDEN UTP</t>
  </si>
  <si>
    <t>KABEL TIS</t>
  </si>
  <si>
    <t>TANG</t>
  </si>
  <si>
    <t>OBENG</t>
  </si>
  <si>
    <t>CUTTER</t>
  </si>
  <si>
    <t>KUNCI PAS</t>
  </si>
  <si>
    <t>KODE BARANG</t>
  </si>
  <si>
    <t>NAMA BARANG</t>
  </si>
  <si>
    <t>STOK AWAL</t>
  </si>
  <si>
    <t>MASUK</t>
  </si>
  <si>
    <t>KELUAR</t>
  </si>
  <si>
    <t>STOK AKHIR</t>
  </si>
  <si>
    <t>NO</t>
  </si>
  <si>
    <t>TANGGAL</t>
  </si>
  <si>
    <t>JUMLAH MASUK</t>
  </si>
  <si>
    <t>DATA BARANG FIBER OPTIC</t>
  </si>
  <si>
    <t>PT MYARSYILA INDONESIA INTERKONEKSI</t>
  </si>
  <si>
    <t>BARANG MASUK</t>
  </si>
  <si>
    <t>BARANG KELUAR</t>
  </si>
  <si>
    <t>JUMLAH KELUAR</t>
  </si>
  <si>
    <t>KETERANGAN</t>
  </si>
  <si>
    <t>TIM TEKNIS</t>
  </si>
  <si>
    <t>PRIODE SEPTEMBER 2026</t>
  </si>
  <si>
    <t>ADAPTOR SC UPC ISI 50PCS (PAZ/BIRU)</t>
  </si>
  <si>
    <t xml:space="preserve"> </t>
  </si>
  <si>
    <t>HTB NET LINK</t>
  </si>
  <si>
    <t>RASIO ODP 8 (PUSARA BJGSR)</t>
  </si>
  <si>
    <t>RASIO ODP 8 (KAMBOJA)</t>
  </si>
  <si>
    <t>RASIO ODP 8 (BSI/TAMAN)</t>
  </si>
  <si>
    <t>RASIO ODP 16 (RAGAMUKTI)</t>
  </si>
  <si>
    <t>RASIO ODP 16 (FASAMORA)</t>
  </si>
  <si>
    <t>RASIO ODP 8 (PAK ADI)</t>
  </si>
  <si>
    <t>RASIO ODP 15 (RANGKAPAN JAYA)</t>
  </si>
  <si>
    <t>RASIO ODP 8 (BAITUL ARIF)</t>
  </si>
  <si>
    <t>RASIO ODP 16 (ABDUL FATAH)</t>
  </si>
  <si>
    <t>RASIO ODP 16 SC/UPC</t>
  </si>
  <si>
    <t>SPLITTER 1:8</t>
  </si>
  <si>
    <t>TROUBLE</t>
  </si>
  <si>
    <t>ADNAN</t>
  </si>
  <si>
    <t>PEMASANGAN BARU</t>
  </si>
  <si>
    <t>ADNAN &amp; EGI</t>
  </si>
  <si>
    <t>PENYAMBUNGAN ODP</t>
  </si>
  <si>
    <t>CHEFI</t>
  </si>
  <si>
    <t>EGI</t>
  </si>
  <si>
    <t>FERDI</t>
  </si>
  <si>
    <t>ODP TARMOC 1:16 CORE</t>
  </si>
  <si>
    <t>ROUTER F680 L</t>
  </si>
  <si>
    <t>ROUTER F670 L</t>
  </si>
  <si>
    <t>DATANG KE ADAAN EROR/CACAT</t>
  </si>
  <si>
    <t>All</t>
  </si>
  <si>
    <t>RAFI,FERDY &amp; ADNAN</t>
  </si>
  <si>
    <t>RAFI &amp; FERDY</t>
  </si>
  <si>
    <t>RAFI</t>
  </si>
  <si>
    <t>ADJI</t>
  </si>
  <si>
    <t>EGI &amp; ADNAN</t>
  </si>
  <si>
    <t>RAFI &amp; ADNAN</t>
  </si>
  <si>
    <t>BF-RTR-F670</t>
  </si>
  <si>
    <t>BF-RTR-F680</t>
  </si>
  <si>
    <t>BF-RTR-F660</t>
  </si>
  <si>
    <t>BF-RST-001</t>
  </si>
  <si>
    <t>BF-PTC-001</t>
  </si>
  <si>
    <t>BF-SLN-001</t>
  </si>
  <si>
    <t>BF-KLP-001</t>
  </si>
  <si>
    <t>BF-KBL-1C</t>
  </si>
  <si>
    <t>BF-SOLASI-FRG</t>
  </si>
  <si>
    <t>BF-SLP-BSR</t>
  </si>
  <si>
    <t>BF-SLP-KCL</t>
  </si>
  <si>
    <t>BF-ADP-SCU-PAZ</t>
  </si>
  <si>
    <t>BF-SLG-ODP</t>
  </si>
  <si>
    <t>BF-PGT-PAZ</t>
  </si>
  <si>
    <t xml:space="preserve">BF-PGTL </t>
  </si>
  <si>
    <t>BF-KST-FO</t>
  </si>
  <si>
    <t>BF-JCL-12C</t>
  </si>
  <si>
    <t>BF-ODP-TRC-1:16-C</t>
  </si>
  <si>
    <t>BF-ODP-TRC-8 C</t>
  </si>
  <si>
    <t>BF-SPL-1:16</t>
  </si>
  <si>
    <t>BF-SPL-1:8</t>
  </si>
  <si>
    <t>BF-JOINT-CK</t>
  </si>
  <si>
    <t>BF-JOINT-CB</t>
  </si>
  <si>
    <t>BF-LC-CC</t>
  </si>
  <si>
    <t>BF-OTB-TRC-24</t>
  </si>
  <si>
    <t>BF-HTB-NK</t>
  </si>
  <si>
    <t>BF-ODP16-SC/UPC</t>
  </si>
  <si>
    <t>BF-ODP8-PK-ADI</t>
  </si>
  <si>
    <t>BF-ODP8-PS-BJ</t>
  </si>
  <si>
    <t>BF-ODP8-KMBJ</t>
  </si>
  <si>
    <t>BF-ODP8-BSI</t>
  </si>
  <si>
    <t>BF-ODP8-BA</t>
  </si>
  <si>
    <t>BF-ODP15-RJ</t>
  </si>
  <si>
    <t>BF-ODP16-RGM</t>
  </si>
  <si>
    <t>BF-ODP16-FSM</t>
  </si>
  <si>
    <t>BF-ODP16-AF</t>
  </si>
  <si>
    <t>BF-RJ45-B</t>
  </si>
  <si>
    <t>BF-RJ45-B-U</t>
  </si>
  <si>
    <t>BF-KBL-T</t>
  </si>
  <si>
    <t>BF-TG-001</t>
  </si>
  <si>
    <t>BF-OBG-001</t>
  </si>
  <si>
    <t>BF-CTR-001</t>
  </si>
  <si>
    <t>BF-KUNCI-P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</si>
</sst>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2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4094A3-5D4A-4C80-8EF1-69F74E0F1C1D}" name="Table1" displayName="Table1" ref="A4:F64" totalsRowShown="0">
  <autoFilter ref="A4:F64" xr:uid="{094094A3-5D4A-4C80-8EF1-69F74E0F1C1D}"/>
  <tableColumns count="6">
    <tableColumn id="1" xr3:uid="{95E49500-121B-40F5-9DC6-CFDB96980136}" name="KODE BARANG" dataDxfId="12"/>
    <tableColumn id="2" xr3:uid="{16EDDDDA-083A-4228-BD09-9E7DC2546C59}" name="NAMA BARANG" dataDxfId="11"/>
    <tableColumn id="3" xr3:uid="{831E58D4-7C90-4E27-81EF-F923CC0CBA18}" name="STOK AWAL" dataDxfId="10"/>
    <tableColumn id="4" xr3:uid="{10761324-1EFB-44FC-A0B5-FF31F5244365}" name="MASUK" dataDxfId="9">
      <calculatedColumnFormula>SUMIF(Table4[KODE BARANG],Table1[[#This Row],[KODE BARANG]],Table4[JUMLAH MASUK])</calculatedColumnFormula>
    </tableColumn>
    <tableColumn id="5" xr3:uid="{66C229F4-D0B7-47D0-88F2-5B2A70DB003A}" name="KELUAR" dataDxfId="8">
      <calculatedColumnFormula>SUMIF(Table5[KODE BARANG],Table1[[#This Row],[KODE BARANG]],Table5[JUMLAH KELUAR])</calculatedColumnFormula>
    </tableColumn>
    <tableColumn id="6" xr3:uid="{A1DE069C-9522-4E47-A308-0C5C41DAF866}" name="STOK AKHIR" dataDxfId="7">
      <calculatedColumnFormula>Table1[[#This Row],[STOK AWAL]]+Table1[[#This Row],[MASUK]]-Table1[[#This Row],[KELUAR]]</calculatedColumnFormula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A02C970-B209-4F65-94F2-5254EC07DA9B}" name="Table4" displayName="Table4" ref="A3:E8" totalsRowShown="0">
  <autoFilter ref="A3:E8" xr:uid="{EA02C970-B209-4F65-94F2-5254EC07DA9B}"/>
  <tableColumns count="5">
    <tableColumn id="1" xr3:uid="{16010095-B4A4-458F-8DDC-0C08522DB3D0}" name="NO" dataDxfId="6">
      <calculatedColumnFormula>ROW()-3</calculatedColumnFormula>
    </tableColumn>
    <tableColumn id="2" xr3:uid="{8CA786C1-CED0-4756-B3C1-D7A39706FE0D}" name="TANGGAL"/>
    <tableColumn id="3" xr3:uid="{1189DC28-C78E-4BF2-A76D-692EDDA5A940}" name="KODE BARANG"/>
    <tableColumn id="4" xr3:uid="{6295F900-0260-49D5-9FAB-A30022EBC2B5}" name="NAMA BARANG" dataDxfId="5">
      <calculatedColumnFormula>IFERROR(VLOOKUP(Table4[[#This Row],[KODE BARANG]],Table1[[KODE BARANG]:[NAMA BARANG]],2,FALSE),"")</calculatedColumnFormula>
    </tableColumn>
    <tableColumn id="5" xr3:uid="{BE4234BB-F2DC-437E-905B-058E3DDC39D8}" name="JUMLAH MASUK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585E1B1-9FD6-434A-9D99-2BF2DB07C253}" name="Table5" displayName="Table5" ref="A3:G249" totalsRowShown="0">
  <autoFilter ref="A3:G249" xr:uid="{5585E1B1-9FD6-434A-9D99-2BF2DB07C253}"/>
  <tableColumns count="7">
    <tableColumn id="1" xr3:uid="{F4B67BF4-89ED-4885-AC75-3DB2369A8E75}" name="NO" dataDxfId="4">
      <calculatedColumnFormula>ROW()-3</calculatedColumnFormula>
    </tableColumn>
    <tableColumn id="2" xr3:uid="{B816B884-CF2F-4AE8-BBAF-8D0C5FC466FD}" name="TANGGAL"/>
    <tableColumn id="3" xr3:uid="{CEE132D9-2862-4C9B-8D4A-FC51A6039AD5}" name="KODE BARANG"/>
    <tableColumn id="4" xr3:uid="{8FADC43A-7D34-4B45-AA61-651791982858}" name="NAMA BARANG" dataDxfId="3">
      <calculatedColumnFormula>IFERROR(VLOOKUP(Table5[[#This Row],[KODE BARANG]],Table1[[KODE BARANG]:[NAMA BARANG]],2,FALSE),"")</calculatedColumnFormula>
    </tableColumn>
    <tableColumn id="5" xr3:uid="{15AE39FF-4405-4202-87EE-A54414C1B00F}" name="JUMLAH KELUAR" dataDxfId="2"/>
    <tableColumn id="6" xr3:uid="{F673F0F6-A409-47DE-A178-62EC1A6F1A15}" name="KETERANGAN" dataDxfId="1"/>
    <tableColumn id="7" xr3:uid="{D2008881-7A3A-4659-A77F-7E962BF65598}" name="TIM TEKNI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4F95B-257E-4E06-B46B-1E0C0DD34DBB}">
  <dimension ref="A1:K64"/>
  <sheetViews>
    <sheetView topLeftCell="A37" zoomScaleNormal="100" workbookViewId="0">
      <selection activeCell="A48" sqref="A48"/>
    </sheetView>
  </sheetViews>
  <sheetFormatPr defaultRowHeight="15" x14ac:dyDescent="0.25"/>
  <cols>
    <col min="1" max="1" width="16" bestFit="1" customWidth="1"/>
    <col min="2" max="2" width="30.85546875" bestFit="1" customWidth="1"/>
    <col min="3" max="3" width="13.7109375" bestFit="1" customWidth="1"/>
    <col min="4" max="5" width="11" customWidth="1"/>
    <col min="6" max="6" width="13.7109375" bestFit="1" customWidth="1"/>
  </cols>
  <sheetData>
    <row r="1" spans="1:11" ht="23.25" x14ac:dyDescent="0.35">
      <c r="A1" s="13" t="s">
        <v>37</v>
      </c>
      <c r="B1" s="13"/>
      <c r="C1" s="13"/>
      <c r="D1" s="13"/>
      <c r="E1" s="13"/>
      <c r="F1" s="13"/>
    </row>
    <row r="2" spans="1:11" ht="18.75" x14ac:dyDescent="0.3">
      <c r="A2" s="14" t="s">
        <v>38</v>
      </c>
      <c r="B2" s="14"/>
      <c r="C2" s="14"/>
      <c r="D2" s="14"/>
      <c r="E2" s="14"/>
      <c r="F2" s="14"/>
    </row>
    <row r="3" spans="1:11" x14ac:dyDescent="0.25">
      <c r="A3" s="6" t="s">
        <v>44</v>
      </c>
    </row>
    <row r="4" spans="1:11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</row>
    <row r="5" spans="1:11" x14ac:dyDescent="0.25">
      <c r="A5" t="s">
        <v>78</v>
      </c>
      <c r="B5" t="s">
        <v>69</v>
      </c>
      <c r="C5" s="2">
        <v>16</v>
      </c>
      <c r="D5" s="1">
        <f>SUMIF(Table4[KODE BARANG],Table1[[#This Row],[KODE BARANG]],Table4[JUMLAH MASUK])</f>
        <v>0</v>
      </c>
      <c r="E5" s="1">
        <f>SUMIF(Table5[KODE BARANG],Table1[[#This Row],[KODE BARANG]],Table5[JUMLAH KELUAR])</f>
        <v>6</v>
      </c>
      <c r="F5" s="1">
        <f>Table1[[#This Row],[STOK AWAL]]+Table1[[#This Row],[MASUK]]-Table1[[#This Row],[KELUAR]]</f>
        <v>10</v>
      </c>
    </row>
    <row r="6" spans="1:11" x14ac:dyDescent="0.25">
      <c r="A6" s="3" t="s">
        <v>79</v>
      </c>
      <c r="B6" s="3" t="s">
        <v>68</v>
      </c>
      <c r="C6" s="10"/>
      <c r="D6" s="5">
        <f>SUMIF(Table4[KODE BARANG],Table1[[#This Row],[KODE BARANG]],Table4[JUMLAH MASUK])</f>
        <v>10</v>
      </c>
      <c r="E6" s="5">
        <f>SUMIF(Table5[KODE BARANG],Table1[[#This Row],[KODE BARANG]],Table5[JUMLAH KELUAR])</f>
        <v>0</v>
      </c>
      <c r="F6" s="5">
        <f>Table1[[#This Row],[STOK AWAL]]+Table1[[#This Row],[MASUK]]-Table1[[#This Row],[KELUAR]]</f>
        <v>10</v>
      </c>
    </row>
    <row r="7" spans="1:11" x14ac:dyDescent="0.25">
      <c r="A7" t="s">
        <v>80</v>
      </c>
      <c r="B7" t="s">
        <v>0</v>
      </c>
      <c r="C7" s="1"/>
      <c r="D7" s="2">
        <f>SUMIF(Table4[KODE BARANG],Table1[[#This Row],[KODE BARANG]],Table4[JUMLAH MASUK])</f>
        <v>50</v>
      </c>
      <c r="E7" s="2">
        <f>SUMIF(Table5[KODE BARANG],Table1[[#This Row],[KODE BARANG]],Table5[JUMLAH KELUAR])</f>
        <v>9</v>
      </c>
      <c r="F7" s="2">
        <f>Table1[[#This Row],[STOK AWAL]]+Table1[[#This Row],[MASUK]]-Table1[[#This Row],[KELUAR]]</f>
        <v>41</v>
      </c>
    </row>
    <row r="8" spans="1:11" x14ac:dyDescent="0.25">
      <c r="A8" t="s">
        <v>81</v>
      </c>
      <c r="B8" t="s">
        <v>1</v>
      </c>
      <c r="C8" s="1">
        <v>111</v>
      </c>
      <c r="D8" s="1">
        <f>SUMIF(Table4[KODE BARANG],Table1[[#This Row],[KODE BARANG]],Table4[JUMLAH MASUK])</f>
        <v>0</v>
      </c>
      <c r="E8" s="1">
        <f>SUMIF(Table5[KODE BARANG],Table1[[#This Row],[KODE BARANG]],Table5[JUMLAH KELUAR])</f>
        <v>8</v>
      </c>
      <c r="F8" s="1">
        <f>Table1[[#This Row],[STOK AWAL]]+Table1[[#This Row],[MASUK]]-Table1[[#This Row],[KELUAR]]</f>
        <v>103</v>
      </c>
      <c r="K8" t="s">
        <v>46</v>
      </c>
    </row>
    <row r="9" spans="1:11" x14ac:dyDescent="0.25">
      <c r="A9" t="s">
        <v>82</v>
      </c>
      <c r="B9" t="s">
        <v>2</v>
      </c>
      <c r="C9" s="1">
        <v>67</v>
      </c>
      <c r="D9" s="1">
        <f>SUMIF(Table4[KODE BARANG],Table1[[#This Row],[KODE BARANG]],Table4[JUMLAH MASUK])</f>
        <v>0</v>
      </c>
      <c r="E9" s="1">
        <f>SUMIF(Table5[KODE BARANG],Table1[[#This Row],[KODE BARANG]],Table5[JUMLAH KELUAR])</f>
        <v>16</v>
      </c>
      <c r="F9" s="1">
        <f>Table1[[#This Row],[STOK AWAL]]+Table1[[#This Row],[MASUK]]-Table1[[#This Row],[KELUAR]]</f>
        <v>51</v>
      </c>
    </row>
    <row r="10" spans="1:11" x14ac:dyDescent="0.25">
      <c r="A10" t="s">
        <v>83</v>
      </c>
      <c r="B10" t="s">
        <v>3</v>
      </c>
      <c r="C10" s="1">
        <v>46</v>
      </c>
      <c r="D10" s="1">
        <f>SUMIF(Table4[KODE BARANG],Table1[[#This Row],[KODE BARANG]],Table4[JUMLAH MASUK])</f>
        <v>0</v>
      </c>
      <c r="E10" s="1">
        <f>SUMIF(Table5[KODE BARANG],Table1[[#This Row],[KODE BARANG]],Table5[JUMLAH KELUAR])</f>
        <v>6</v>
      </c>
      <c r="F10" s="1">
        <f>Table1[[#This Row],[STOK AWAL]]+Table1[[#This Row],[MASUK]]-Table1[[#This Row],[KELUAR]]</f>
        <v>40</v>
      </c>
    </row>
    <row r="11" spans="1:11" x14ac:dyDescent="0.25">
      <c r="A11" t="s">
        <v>84</v>
      </c>
      <c r="B11" t="s">
        <v>4</v>
      </c>
      <c r="C11" s="1">
        <v>209</v>
      </c>
      <c r="D11" s="1">
        <f>SUMIF(Table4[KODE BARANG],Table1[[#This Row],[KODE BARANG]],Table4[JUMLAH MASUK])</f>
        <v>0</v>
      </c>
      <c r="E11" s="1">
        <f>SUMIF(Table5[KODE BARANG],Table1[[#This Row],[KODE BARANG]],Table5[JUMLAH KELUAR])</f>
        <v>9</v>
      </c>
      <c r="F11" s="1">
        <f>Table1[[#This Row],[STOK AWAL]]+Table1[[#This Row],[MASUK]]-Table1[[#This Row],[KELUAR]]</f>
        <v>200</v>
      </c>
    </row>
    <row r="12" spans="1:11" x14ac:dyDescent="0.25">
      <c r="A12" t="s">
        <v>85</v>
      </c>
      <c r="B12" t="s">
        <v>5</v>
      </c>
      <c r="C12" s="1">
        <v>11</v>
      </c>
      <c r="D12" s="1">
        <f>SUMIF(Table4[KODE BARANG],Table1[[#This Row],[KODE BARANG]],Table4[JUMLAH MASUK])</f>
        <v>0</v>
      </c>
      <c r="E12" s="1">
        <f>SUMIF(Table5[KODE BARANG],Table1[[#This Row],[KODE BARANG]],Table5[JUMLAH KELUAR])</f>
        <v>1</v>
      </c>
      <c r="F12" s="1">
        <f>Table1[[#This Row],[STOK AWAL]]+Table1[[#This Row],[MASUK]]-Table1[[#This Row],[KELUAR]]</f>
        <v>10</v>
      </c>
    </row>
    <row r="13" spans="1:11" x14ac:dyDescent="0.25">
      <c r="A13" t="s">
        <v>86</v>
      </c>
      <c r="B13" t="s">
        <v>6</v>
      </c>
      <c r="C13" s="1"/>
      <c r="D13" s="1">
        <f>SUMIF(Table4[KODE BARANG],Table1[[#This Row],[KODE BARANG]],Table4[JUMLAH MASUK])</f>
        <v>0</v>
      </c>
      <c r="E13" s="1">
        <f>SUMIF(Table5[KODE BARANG],Table1[[#This Row],[KODE BARANG]],Table5[JUMLAH KELUAR])</f>
        <v>0</v>
      </c>
      <c r="F13" s="1">
        <f>Table1[[#This Row],[STOK AWAL]]+Table1[[#This Row],[MASUK]]-Table1[[#This Row],[KELUAR]]</f>
        <v>0</v>
      </c>
    </row>
    <row r="14" spans="1:11" x14ac:dyDescent="0.25">
      <c r="A14" t="s">
        <v>87</v>
      </c>
      <c r="B14" t="s">
        <v>7</v>
      </c>
      <c r="C14" s="1">
        <v>13</v>
      </c>
      <c r="D14" s="1">
        <f>SUMIF(Table4[KODE BARANG],Table1[[#This Row],[KODE BARANG]],Table4[JUMLAH MASUK])</f>
        <v>0</v>
      </c>
      <c r="E14" s="1">
        <f>SUMIF(Table5[KODE BARANG],Table1[[#This Row],[KODE BARANG]],Table5[JUMLAH KELUAR])</f>
        <v>0</v>
      </c>
      <c r="F14" s="1">
        <f>Table1[[#This Row],[STOK AWAL]]+Table1[[#This Row],[MASUK]]-Table1[[#This Row],[KELUAR]]</f>
        <v>13</v>
      </c>
    </row>
    <row r="15" spans="1:11" x14ac:dyDescent="0.25">
      <c r="A15" t="s">
        <v>88</v>
      </c>
      <c r="B15" t="s">
        <v>8</v>
      </c>
      <c r="C15" s="1"/>
      <c r="D15" s="1">
        <f>SUMIF(Table4[KODE BARANG],Table1[[#This Row],[KODE BARANG]],Table4[JUMLAH MASUK])</f>
        <v>0</v>
      </c>
      <c r="E15" s="1">
        <f>SUMIF(Table5[KODE BARANG],Table1[[#This Row],[KODE BARANG]],Table5[JUMLAH KELUAR])</f>
        <v>0</v>
      </c>
      <c r="F15" s="1">
        <f>Table1[[#This Row],[STOK AWAL]]+Table1[[#This Row],[MASUK]]-Table1[[#This Row],[KELUAR]]</f>
        <v>0</v>
      </c>
    </row>
    <row r="16" spans="1:11" x14ac:dyDescent="0.25">
      <c r="A16" t="s">
        <v>89</v>
      </c>
      <c r="B16" t="s">
        <v>45</v>
      </c>
      <c r="C16" s="1">
        <v>11</v>
      </c>
      <c r="D16" s="1">
        <f>SUMIF(Table4[KODE BARANG],Table1[[#This Row],[KODE BARANG]],Table4[JUMLAH MASUK])</f>
        <v>0</v>
      </c>
      <c r="E16" s="1">
        <f>SUMIF(Table5[KODE BARANG],Table1[[#This Row],[KODE BARANG]],Table5[JUMLAH KELUAR])</f>
        <v>0</v>
      </c>
      <c r="F16" s="1">
        <f>Table1[[#This Row],[STOK AWAL]]+Table1[[#This Row],[MASUK]]-Table1[[#This Row],[KELUAR]]</f>
        <v>11</v>
      </c>
    </row>
    <row r="17" spans="1:6" x14ac:dyDescent="0.25">
      <c r="A17" t="s">
        <v>90</v>
      </c>
      <c r="B17" t="s">
        <v>9</v>
      </c>
      <c r="C17" s="1">
        <v>28</v>
      </c>
      <c r="D17" s="1">
        <f>SUMIF(Table4[KODE BARANG],Table1[[#This Row],[KODE BARANG]],Table4[JUMLAH MASUK])</f>
        <v>0</v>
      </c>
      <c r="E17" s="1">
        <f>SUMIF(Table5[KODE BARANG],Table1[[#This Row],[KODE BARANG]],Table5[JUMLAH KELUAR])</f>
        <v>14</v>
      </c>
      <c r="F17" s="1">
        <f>Table1[[#This Row],[STOK AWAL]]+Table1[[#This Row],[MASUK]]-Table1[[#This Row],[KELUAR]]</f>
        <v>14</v>
      </c>
    </row>
    <row r="18" spans="1:6" x14ac:dyDescent="0.25">
      <c r="A18" t="s">
        <v>91</v>
      </c>
      <c r="B18" t="s">
        <v>10</v>
      </c>
      <c r="C18" s="1"/>
      <c r="D18" s="1">
        <f>SUMIF(Table4[KODE BARANG],Table1[[#This Row],[KODE BARANG]],Table4[JUMLAH MASUK])</f>
        <v>0</v>
      </c>
      <c r="E18" s="1">
        <f>SUMIF(Table5[KODE BARANG],Table1[[#This Row],[KODE BARANG]],Table5[JUMLAH KELUAR])</f>
        <v>0</v>
      </c>
      <c r="F18" s="1">
        <f>Table1[[#This Row],[STOK AWAL]]+Table1[[#This Row],[MASUK]]-Table1[[#This Row],[KELUAR]]</f>
        <v>0</v>
      </c>
    </row>
    <row r="19" spans="1:6" x14ac:dyDescent="0.25">
      <c r="A19" t="s">
        <v>92</v>
      </c>
      <c r="B19" t="s">
        <v>11</v>
      </c>
      <c r="C19" s="1"/>
      <c r="D19" s="1">
        <f>SUMIF(Table4[KODE BARANG],Table1[[#This Row],[KODE BARANG]],Table4[JUMLAH MASUK])</f>
        <v>0</v>
      </c>
      <c r="E19" s="1">
        <f>SUMIF(Table5[KODE BARANG],Table1[[#This Row],[KODE BARANG]],Table5[JUMLAH KELUAR])</f>
        <v>0</v>
      </c>
      <c r="F19" s="1">
        <f>Table1[[#This Row],[STOK AWAL]]+Table1[[#This Row],[MASUK]]-Table1[[#This Row],[KELUAR]]</f>
        <v>0</v>
      </c>
    </row>
    <row r="20" spans="1:6" x14ac:dyDescent="0.25">
      <c r="A20" t="s">
        <v>93</v>
      </c>
      <c r="B20" t="s">
        <v>12</v>
      </c>
      <c r="C20" s="1">
        <v>6</v>
      </c>
      <c r="D20" s="1">
        <f>SUMIF(Table4[KODE BARANG],Table1[[#This Row],[KODE BARANG]],Table4[JUMLAH MASUK])</f>
        <v>0</v>
      </c>
      <c r="E20" s="1">
        <f>SUMIF(Table5[KODE BARANG],Table1[[#This Row],[KODE BARANG]],Table5[JUMLAH KELUAR])</f>
        <v>0</v>
      </c>
      <c r="F20" s="1">
        <f>Table1[[#This Row],[STOK AWAL]]+Table1[[#This Row],[MASUK]]-Table1[[#This Row],[KELUAR]]</f>
        <v>6</v>
      </c>
    </row>
    <row r="21" spans="1:6" x14ac:dyDescent="0.25">
      <c r="A21" t="s">
        <v>94</v>
      </c>
      <c r="B21" t="s">
        <v>13</v>
      </c>
      <c r="C21" s="1"/>
      <c r="D21" s="1">
        <f>SUMIF(Table4[KODE BARANG],Table1[[#This Row],[KODE BARANG]],Table4[JUMLAH MASUK])</f>
        <v>0</v>
      </c>
      <c r="E21" s="1">
        <f>SUMIF(Table5[KODE BARANG],Table1[[#This Row],[KODE BARANG]],Table5[JUMLAH KELUAR])</f>
        <v>0</v>
      </c>
      <c r="F21" s="1">
        <f>Table1[[#This Row],[STOK AWAL]]+Table1[[#This Row],[MASUK]]-Table1[[#This Row],[KELUAR]]</f>
        <v>0</v>
      </c>
    </row>
    <row r="22" spans="1:6" x14ac:dyDescent="0.25">
      <c r="A22" t="s">
        <v>95</v>
      </c>
      <c r="B22" t="s">
        <v>67</v>
      </c>
      <c r="C22" s="1">
        <v>14</v>
      </c>
      <c r="D22" s="1">
        <f>SUMIF(Table4[KODE BARANG],Table1[[#This Row],[KODE BARANG]],Table4[JUMLAH MASUK])</f>
        <v>0</v>
      </c>
      <c r="E22" s="1">
        <f>SUMIF(Table5[KODE BARANG],Table1[[#This Row],[KODE BARANG]],Table5[JUMLAH KELUAR])</f>
        <v>14</v>
      </c>
      <c r="F22" s="1">
        <f>Table1[[#This Row],[STOK AWAL]]+Table1[[#This Row],[MASUK]]-Table1[[#This Row],[KELUAR]]</f>
        <v>0</v>
      </c>
    </row>
    <row r="23" spans="1:6" x14ac:dyDescent="0.25">
      <c r="A23" t="s">
        <v>96</v>
      </c>
      <c r="B23" t="s">
        <v>14</v>
      </c>
      <c r="C23" s="1">
        <v>10</v>
      </c>
      <c r="D23" s="1">
        <f>SUMIF(Table4[KODE BARANG],Table1[[#This Row],[KODE BARANG]],Table4[JUMLAH MASUK])</f>
        <v>0</v>
      </c>
      <c r="E23" s="1">
        <f>SUMIF(Table5[KODE BARANG],Table1[[#This Row],[KODE BARANG]],Table5[JUMLAH KELUAR])</f>
        <v>0</v>
      </c>
      <c r="F23" s="1">
        <f>Table1[[#This Row],[STOK AWAL]]+Table1[[#This Row],[MASUK]]-Table1[[#This Row],[KELUAR]]</f>
        <v>10</v>
      </c>
    </row>
    <row r="24" spans="1:6" x14ac:dyDescent="0.25">
      <c r="A24" t="s">
        <v>97</v>
      </c>
      <c r="B24" t="s">
        <v>15</v>
      </c>
      <c r="C24" s="1">
        <v>4</v>
      </c>
      <c r="D24" s="1">
        <f>SUMIF(Table4[KODE BARANG],Table1[[#This Row],[KODE BARANG]],Table4[JUMLAH MASUK])</f>
        <v>0</v>
      </c>
      <c r="E24" s="1">
        <f>SUMIF(Table5[KODE BARANG],Table1[[#This Row],[KODE BARANG]],Table5[JUMLAH KELUAR])</f>
        <v>3</v>
      </c>
      <c r="F24" s="1">
        <f>Table1[[#This Row],[STOK AWAL]]+Table1[[#This Row],[MASUK]]-Table1[[#This Row],[KELUAR]]</f>
        <v>1</v>
      </c>
    </row>
    <row r="25" spans="1:6" x14ac:dyDescent="0.25">
      <c r="A25" t="s">
        <v>98</v>
      </c>
      <c r="B25" t="s">
        <v>16</v>
      </c>
      <c r="C25" s="1">
        <v>10</v>
      </c>
      <c r="D25" s="1">
        <f>SUMIF(Table4[KODE BARANG],Table1[[#This Row],[KODE BARANG]],Table4[JUMLAH MASUK])</f>
        <v>0</v>
      </c>
      <c r="E25" s="1">
        <f>SUMIF(Table5[KODE BARANG],Table1[[#This Row],[KODE BARANG]],Table5[JUMLAH KELUAR])</f>
        <v>2</v>
      </c>
      <c r="F25" s="1">
        <f>Table1[[#This Row],[STOK AWAL]]+Table1[[#This Row],[MASUK]]-Table1[[#This Row],[KELUAR]]</f>
        <v>8</v>
      </c>
    </row>
    <row r="26" spans="1:6" x14ac:dyDescent="0.25">
      <c r="A26" t="s">
        <v>99</v>
      </c>
      <c r="B26" t="s">
        <v>17</v>
      </c>
      <c r="C26" s="1"/>
      <c r="D26" s="1">
        <f>SUMIF(Table4[KODE BARANG],Table1[[#This Row],[KODE BARANG]],Table4[JUMLAH MASUK])</f>
        <v>0</v>
      </c>
      <c r="E26" s="1">
        <f>SUMIF(Table5[KODE BARANG],Table1[[#This Row],[KODE BARANG]],Table5[JUMLAH KELUAR])</f>
        <v>0</v>
      </c>
      <c r="F26" s="1">
        <f>Table1[[#This Row],[STOK AWAL]]+Table1[[#This Row],[MASUK]]-Table1[[#This Row],[KELUAR]]</f>
        <v>0</v>
      </c>
    </row>
    <row r="27" spans="1:6" x14ac:dyDescent="0.25">
      <c r="A27" t="s">
        <v>100</v>
      </c>
      <c r="B27" t="s">
        <v>18</v>
      </c>
      <c r="C27" s="1"/>
      <c r="D27" s="1">
        <f>SUMIF(Table4[KODE BARANG],Table1[[#This Row],[KODE BARANG]],Table4[JUMLAH MASUK])</f>
        <v>0</v>
      </c>
      <c r="E27" s="1">
        <f>SUMIF(Table5[KODE BARANG],Table1[[#This Row],[KODE BARANG]],Table5[JUMLAH KELUAR])</f>
        <v>0</v>
      </c>
      <c r="F27" s="1">
        <f>Table1[[#This Row],[STOK AWAL]]+Table1[[#This Row],[MASUK]]-Table1[[#This Row],[KELUAR]]</f>
        <v>0</v>
      </c>
    </row>
    <row r="28" spans="1:6" x14ac:dyDescent="0.25">
      <c r="A28" t="s">
        <v>101</v>
      </c>
      <c r="B28" t="s">
        <v>19</v>
      </c>
      <c r="C28" s="1"/>
      <c r="D28" s="1">
        <f>SUMIF(Table4[KODE BARANG],Table1[[#This Row],[KODE BARANG]],Table4[JUMLAH MASUK])</f>
        <v>0</v>
      </c>
      <c r="E28" s="1">
        <f>SUMIF(Table5[KODE BARANG],Table1[[#This Row],[KODE BARANG]],Table5[JUMLAH KELUAR])</f>
        <v>0</v>
      </c>
      <c r="F28" s="1">
        <f>Table1[[#This Row],[STOK AWAL]]+Table1[[#This Row],[MASUK]]-Table1[[#This Row],[KELUAR]]</f>
        <v>0</v>
      </c>
    </row>
    <row r="29" spans="1:6" x14ac:dyDescent="0.25">
      <c r="A29" t="s">
        <v>102</v>
      </c>
      <c r="B29" t="s">
        <v>20</v>
      </c>
      <c r="C29" s="1">
        <v>1</v>
      </c>
      <c r="D29" s="1">
        <f>SUMIF(Table4[KODE BARANG],Table1[[#This Row],[KODE BARANG]],Table4[JUMLAH MASUK])</f>
        <v>0</v>
      </c>
      <c r="E29" s="1">
        <f>SUMIF(Table5[KODE BARANG],Table1[[#This Row],[KODE BARANG]],Table5[JUMLAH KELUAR])</f>
        <v>0</v>
      </c>
      <c r="F29" s="1">
        <f>Table1[[#This Row],[STOK AWAL]]+Table1[[#This Row],[MASUK]]-Table1[[#This Row],[KELUAR]]</f>
        <v>1</v>
      </c>
    </row>
    <row r="30" spans="1:6" x14ac:dyDescent="0.25">
      <c r="A30" t="s">
        <v>98</v>
      </c>
      <c r="B30" t="s">
        <v>58</v>
      </c>
      <c r="C30" s="1">
        <v>5</v>
      </c>
      <c r="D30" s="1">
        <f>SUMIF(Table4[KODE BARANG],Table1[[#This Row],[KODE BARANG]],Table4[JUMLAH MASUK])</f>
        <v>0</v>
      </c>
      <c r="E30" s="1">
        <f>SUMIF(Table5[KODE BARANG],Table1[[#This Row],[KODE BARANG]],Table5[JUMLAH KELUAR])</f>
        <v>2</v>
      </c>
      <c r="F30" s="1">
        <f>Table1[[#This Row],[STOK AWAL]]+Table1[[#This Row],[MASUK]]-Table1[[#This Row],[KELUAR]]</f>
        <v>3</v>
      </c>
    </row>
    <row r="31" spans="1:6" x14ac:dyDescent="0.25">
      <c r="A31" t="s">
        <v>103</v>
      </c>
      <c r="B31" t="s">
        <v>47</v>
      </c>
      <c r="C31" s="1">
        <v>3</v>
      </c>
      <c r="D31" s="1">
        <f>SUMIF(Table4[KODE BARANG],Table1[[#This Row],[KODE BARANG]],Table4[JUMLAH MASUK])</f>
        <v>0</v>
      </c>
      <c r="E31" s="1">
        <f>SUMIF(Table5[KODE BARANG],Table1[[#This Row],[KODE BARANG]],Table5[JUMLAH KELUAR])</f>
        <v>0</v>
      </c>
      <c r="F31" s="1">
        <f>Table1[[#This Row],[STOK AWAL]]+Table1[[#This Row],[MASUK]]-Table1[[#This Row],[KELUAR]]</f>
        <v>3</v>
      </c>
    </row>
    <row r="32" spans="1:6" x14ac:dyDescent="0.25">
      <c r="A32" s="3" t="s">
        <v>104</v>
      </c>
      <c r="B32" s="3" t="s">
        <v>57</v>
      </c>
      <c r="C32" s="4">
        <v>39</v>
      </c>
      <c r="D32" s="1">
        <f>SUMIF(Table4[KODE BARANG],Table1[[#This Row],[KODE BARANG]],Table4[JUMLAH MASUK])</f>
        <v>0</v>
      </c>
      <c r="E32" s="1">
        <f>SUMIF(Table5[KODE BARANG],Table1[[#This Row],[KODE BARANG]],Table5[JUMLAH KELUAR])</f>
        <v>7</v>
      </c>
      <c r="F32" s="1">
        <f>Table1[[#This Row],[STOK AWAL]]+Table1[[#This Row],[MASUK]]-Table1[[#This Row],[KELUAR]]</f>
        <v>32</v>
      </c>
    </row>
    <row r="33" spans="1:6" x14ac:dyDescent="0.25">
      <c r="A33" t="s">
        <v>105</v>
      </c>
      <c r="B33" t="s">
        <v>53</v>
      </c>
      <c r="C33" s="1">
        <v>2</v>
      </c>
      <c r="D33" s="1">
        <f>SUMIF(Table4[KODE BARANG],Table1[[#This Row],[KODE BARANG]],Table4[JUMLAH MASUK])</f>
        <v>0</v>
      </c>
      <c r="E33" s="1">
        <f>SUMIF(Table5[KODE BARANG],Table1[[#This Row],[KODE BARANG]],Table5[JUMLAH KELUAR])</f>
        <v>0</v>
      </c>
      <c r="F33" s="1">
        <f>Table1[[#This Row],[STOK AWAL]]+Table1[[#This Row],[MASUK]]-Table1[[#This Row],[KELUAR]]</f>
        <v>2</v>
      </c>
    </row>
    <row r="34" spans="1:6" x14ac:dyDescent="0.25">
      <c r="A34" t="s">
        <v>106</v>
      </c>
      <c r="B34" t="s">
        <v>48</v>
      </c>
      <c r="C34" s="1">
        <v>6</v>
      </c>
      <c r="D34" s="1">
        <f>SUMIF(Table4[KODE BARANG],Table1[[#This Row],[KODE BARANG]],Table4[JUMLAH MASUK])</f>
        <v>0</v>
      </c>
      <c r="E34" s="1">
        <f>SUMIF(Table5[KODE BARANG],Table1[[#This Row],[KODE BARANG]],Table5[JUMLAH KELUAR])</f>
        <v>0</v>
      </c>
      <c r="F34" s="1">
        <f>Table1[[#This Row],[STOK AWAL]]+Table1[[#This Row],[MASUK]]-Table1[[#This Row],[KELUAR]]</f>
        <v>6</v>
      </c>
    </row>
    <row r="35" spans="1:6" x14ac:dyDescent="0.25">
      <c r="A35" t="s">
        <v>107</v>
      </c>
      <c r="B35" t="s">
        <v>49</v>
      </c>
      <c r="C35" s="1">
        <v>4</v>
      </c>
      <c r="D35" s="1">
        <f>SUMIF(Table4[KODE BARANG],Table1[[#This Row],[KODE BARANG]],Table4[JUMLAH MASUK])</f>
        <v>0</v>
      </c>
      <c r="E35" s="1">
        <f>SUMIF(Table5[KODE BARANG],Table1[[#This Row],[KODE BARANG]],Table5[JUMLAH KELUAR])</f>
        <v>0</v>
      </c>
      <c r="F35" s="1">
        <f>Table1[[#This Row],[STOK AWAL]]+Table1[[#This Row],[MASUK]]-Table1[[#This Row],[KELUAR]]</f>
        <v>4</v>
      </c>
    </row>
    <row r="36" spans="1:6" x14ac:dyDescent="0.25">
      <c r="A36" t="s">
        <v>108</v>
      </c>
      <c r="B36" t="s">
        <v>50</v>
      </c>
      <c r="C36" s="1">
        <v>1</v>
      </c>
      <c r="D36" s="1">
        <f>SUMIF(Table4[KODE BARANG],Table1[[#This Row],[KODE BARANG]],Table4[JUMLAH MASUK])</f>
        <v>0</v>
      </c>
      <c r="E36" s="1">
        <f>SUMIF(Table5[KODE BARANG],Table1[[#This Row],[KODE BARANG]],Table5[JUMLAH KELUAR])</f>
        <v>0</v>
      </c>
      <c r="F36" s="1">
        <f>Table1[[#This Row],[STOK AWAL]]+Table1[[#This Row],[MASUK]]-Table1[[#This Row],[KELUAR]]</f>
        <v>1</v>
      </c>
    </row>
    <row r="37" spans="1:6" x14ac:dyDescent="0.25">
      <c r="A37" t="s">
        <v>109</v>
      </c>
      <c r="B37" t="s">
        <v>55</v>
      </c>
      <c r="C37" s="1">
        <v>1</v>
      </c>
      <c r="D37" s="1">
        <f>SUMIF(Table4[KODE BARANG],Table1[[#This Row],[KODE BARANG]],Table4[JUMLAH MASUK])</f>
        <v>0</v>
      </c>
      <c r="E37" s="1">
        <f>SUMIF(Table5[KODE BARANG],Table1[[#This Row],[KODE BARANG]],Table5[JUMLAH KELUAR])</f>
        <v>0</v>
      </c>
      <c r="F37" s="1">
        <f>Table1[[#This Row],[STOK AWAL]]+Table1[[#This Row],[MASUK]]-Table1[[#This Row],[KELUAR]]</f>
        <v>1</v>
      </c>
    </row>
    <row r="38" spans="1:6" ht="16.5" customHeight="1" x14ac:dyDescent="0.25">
      <c r="A38" t="s">
        <v>110</v>
      </c>
      <c r="B38" t="s">
        <v>54</v>
      </c>
      <c r="C38" s="1">
        <v>10</v>
      </c>
      <c r="D38" s="1">
        <f>SUMIF(Table4[KODE BARANG],Table1[[#This Row],[KODE BARANG]],Table4[JUMLAH MASUK])</f>
        <v>0</v>
      </c>
      <c r="E38" s="1">
        <f>SUMIF(Table5[KODE BARANG],Table1[[#This Row],[KODE BARANG]],Table5[JUMLAH KELUAR])</f>
        <v>0</v>
      </c>
      <c r="F38" s="1">
        <f>Table1[[#This Row],[STOK AWAL]]+Table1[[#This Row],[MASUK]]-Table1[[#This Row],[KELUAR]]</f>
        <v>10</v>
      </c>
    </row>
    <row r="39" spans="1:6" ht="16.5" customHeight="1" x14ac:dyDescent="0.25">
      <c r="A39" t="s">
        <v>111</v>
      </c>
      <c r="B39" t="s">
        <v>51</v>
      </c>
      <c r="C39" s="1">
        <v>4</v>
      </c>
      <c r="D39" s="5">
        <f>SUMIF(Table4[KODE BARANG],Table1[[#This Row],[KODE BARANG]],Table4[JUMLAH MASUK])</f>
        <v>0</v>
      </c>
      <c r="E39" s="5">
        <f>SUMIF(Table5[KODE BARANG],Table1[[#This Row],[KODE BARANG]],Table5[JUMLAH KELUAR])</f>
        <v>3</v>
      </c>
      <c r="F39" s="5">
        <f>Table1[[#This Row],[STOK AWAL]]+Table1[[#This Row],[MASUK]]-Table1[[#This Row],[KELUAR]]</f>
        <v>1</v>
      </c>
    </row>
    <row r="40" spans="1:6" x14ac:dyDescent="0.25">
      <c r="A40" t="s">
        <v>112</v>
      </c>
      <c r="B40" t="s">
        <v>52</v>
      </c>
      <c r="C40" s="1">
        <v>2</v>
      </c>
      <c r="D40" s="1">
        <f>SUMIF(Table4[KODE BARANG],Table1[[#This Row],[KODE BARANG]],Table4[JUMLAH MASUK])</f>
        <v>0</v>
      </c>
      <c r="E40" s="1">
        <f>SUMIF(Table5[KODE BARANG],Table1[[#This Row],[KODE BARANG]],Table5[JUMLAH KELUAR])</f>
        <v>0</v>
      </c>
      <c r="F40" s="1">
        <f>Table1[[#This Row],[STOK AWAL]]+Table1[[#This Row],[MASUK]]-Table1[[#This Row],[KELUAR]]</f>
        <v>2</v>
      </c>
    </row>
    <row r="41" spans="1:6" x14ac:dyDescent="0.25">
      <c r="A41" t="s">
        <v>113</v>
      </c>
      <c r="B41" t="s">
        <v>56</v>
      </c>
      <c r="C41" s="1">
        <v>8</v>
      </c>
      <c r="D41" s="1">
        <f>SUMIF(Table4[KODE BARANG],Table1[[#This Row],[KODE BARANG]],Table4[JUMLAH MASUK])</f>
        <v>0</v>
      </c>
      <c r="E41" s="1">
        <f>SUMIF(Table5[KODE BARANG],Table1[[#This Row],[KODE BARANG]],Table5[JUMLAH KELUAR])</f>
        <v>0</v>
      </c>
      <c r="F41" s="1">
        <f>Table1[[#This Row],[STOK AWAL]]+Table1[[#This Row],[MASUK]]-Table1[[#This Row],[KELUAR]]</f>
        <v>8</v>
      </c>
    </row>
    <row r="42" spans="1:6" x14ac:dyDescent="0.25">
      <c r="A42" t="s">
        <v>114</v>
      </c>
      <c r="B42" t="s">
        <v>21</v>
      </c>
      <c r="C42" s="1">
        <v>4</v>
      </c>
      <c r="D42" s="1">
        <f>SUMIF(Table4[KODE BARANG],Table1[[#This Row],[KODE BARANG]],Table4[JUMLAH MASUK])</f>
        <v>0</v>
      </c>
      <c r="E42" s="1">
        <f>SUMIF(Table5[KODE BARANG],Table1[[#This Row],[KODE BARANG]],Table5[JUMLAH KELUAR])</f>
        <v>0</v>
      </c>
      <c r="F42" s="1">
        <f>Table1[[#This Row],[STOK AWAL]]+Table1[[#This Row],[MASUK]]-Table1[[#This Row],[KELUAR]]</f>
        <v>4</v>
      </c>
    </row>
    <row r="43" spans="1:6" x14ac:dyDescent="0.25">
      <c r="A43" t="s">
        <v>115</v>
      </c>
      <c r="B43" t="s">
        <v>22</v>
      </c>
      <c r="C43" s="1">
        <v>1</v>
      </c>
      <c r="D43" s="1">
        <f>SUMIF(Table4[KODE BARANG],Table1[[#This Row],[KODE BARANG]],Table4[JUMLAH MASUK])</f>
        <v>0</v>
      </c>
      <c r="E43" s="1">
        <f>SUMIF(Table5[KODE BARANG],Table1[[#This Row],[KODE BARANG]],Table5[JUMLAH KELUAR])</f>
        <v>2</v>
      </c>
      <c r="F43" s="1">
        <f>Table1[[#This Row],[STOK AWAL]]+Table1[[#This Row],[MASUK]]-Table1[[#This Row],[KELUAR]]</f>
        <v>-1</v>
      </c>
    </row>
    <row r="44" spans="1:6" x14ac:dyDescent="0.25">
      <c r="A44" t="s">
        <v>116</v>
      </c>
      <c r="B44" t="s">
        <v>23</v>
      </c>
      <c r="C44" s="1">
        <v>1</v>
      </c>
      <c r="D44" s="1">
        <f>SUMIF(Table4[KODE BARANG],Table1[[#This Row],[KODE BARANG]],Table4[JUMLAH MASUK])</f>
        <v>0</v>
      </c>
      <c r="E44" s="1">
        <f>SUMIF(Table5[KODE BARANG],Table1[[#This Row],[KODE BARANG]],Table5[JUMLAH KELUAR])</f>
        <v>0</v>
      </c>
      <c r="F44" s="1">
        <f>Table1[[#This Row],[STOK AWAL]]+Table1[[#This Row],[MASUK]]-Table1[[#This Row],[KELUAR]]</f>
        <v>1</v>
      </c>
    </row>
    <row r="45" spans="1:6" x14ac:dyDescent="0.25">
      <c r="A45" t="s">
        <v>117</v>
      </c>
      <c r="B45" t="s">
        <v>24</v>
      </c>
      <c r="C45" s="1">
        <v>10</v>
      </c>
      <c r="D45" s="1">
        <f>SUMIF(Table4[KODE BARANG],Table1[[#This Row],[KODE BARANG]],Table4[JUMLAH MASUK])</f>
        <v>0</v>
      </c>
      <c r="E45" s="1">
        <f>SUMIF(Table5[KODE BARANG],Table1[[#This Row],[KODE BARANG]],Table5[JUMLAH KELUAR])</f>
        <v>0</v>
      </c>
      <c r="F45" s="1">
        <f>Table1[[#This Row],[STOK AWAL]]+Table1[[#This Row],[MASUK]]-Table1[[#This Row],[KELUAR]]</f>
        <v>10</v>
      </c>
    </row>
    <row r="46" spans="1:6" x14ac:dyDescent="0.25">
      <c r="A46" t="s">
        <v>118</v>
      </c>
      <c r="B46" t="s">
        <v>25</v>
      </c>
      <c r="C46" s="1">
        <v>4</v>
      </c>
      <c r="D46" s="1">
        <f>SUMIF(Table4[KODE BARANG],Table1[[#This Row],[KODE BARANG]],Table4[JUMLAH MASUK])</f>
        <v>0</v>
      </c>
      <c r="E46" s="1">
        <f>SUMIF(Table5[KODE BARANG],Table1[[#This Row],[KODE BARANG]],Table5[JUMLAH KELUAR])</f>
        <v>0</v>
      </c>
      <c r="F46" s="1">
        <f>Table1[[#This Row],[STOK AWAL]]+Table1[[#This Row],[MASUK]]-Table1[[#This Row],[KELUAR]]</f>
        <v>4</v>
      </c>
    </row>
    <row r="47" spans="1:6" x14ac:dyDescent="0.25">
      <c r="A47" t="s">
        <v>119</v>
      </c>
      <c r="B47" t="s">
        <v>26</v>
      </c>
      <c r="C47" s="1">
        <v>2</v>
      </c>
      <c r="D47" s="1">
        <f>SUMIF(Table4[KODE BARANG],Table1[[#This Row],[KODE BARANG]],Table4[JUMLAH MASUK])</f>
        <v>0</v>
      </c>
      <c r="E47" s="1">
        <f>SUMIF(Table5[KODE BARANG],Table1[[#This Row],[KODE BARANG]],Table5[JUMLAH KELUAR])</f>
        <v>0</v>
      </c>
      <c r="F47" s="1">
        <f>Table1[[#This Row],[STOK AWAL]]+Table1[[#This Row],[MASUK]]-Table1[[#This Row],[KELUAR]]</f>
        <v>2</v>
      </c>
    </row>
    <row r="48" spans="1:6" x14ac:dyDescent="0.25">
      <c r="A48" t="s">
        <v>120</v>
      </c>
      <c r="B48" t="s">
        <v>27</v>
      </c>
      <c r="C48" s="1">
        <v>8</v>
      </c>
      <c r="D48" s="1">
        <f>SUMIF(Table4[KODE BARANG],Table1[[#This Row],[KODE BARANG]],Table4[JUMLAH MASUK])</f>
        <v>0</v>
      </c>
      <c r="E48" s="1">
        <f>SUMIF(Table5[KODE BARANG],Table1[[#This Row],[KODE BARANG]],Table5[JUMLAH KELUAR])</f>
        <v>0</v>
      </c>
      <c r="F48" s="1">
        <f>Table1[[#This Row],[STOK AWAL]]+Table1[[#This Row],[MASUK]]-Table1[[#This Row],[KELUAR]]</f>
        <v>8</v>
      </c>
    </row>
    <row r="49" spans="3:6" x14ac:dyDescent="0.25">
      <c r="C49" s="1"/>
      <c r="D49" s="1">
        <f>SUMIF(Table4[KODE BARANG],Table1[[#This Row],[KODE BARANG]],Table4[JUMLAH MASUK])</f>
        <v>0</v>
      </c>
      <c r="E49" s="1">
        <f>SUMIF(Table5[KODE BARANG],Table1[[#This Row],[KODE BARANG]],Table5[JUMLAH KELUAR])</f>
        <v>0</v>
      </c>
      <c r="F49" s="1">
        <f>Table1[[#This Row],[STOK AWAL]]+Table1[[#This Row],[MASUK]]-Table1[[#This Row],[KELUAR]]</f>
        <v>0</v>
      </c>
    </row>
    <row r="50" spans="3:6" x14ac:dyDescent="0.25">
      <c r="C50" s="1"/>
      <c r="D50" s="1">
        <f>SUMIF(Table4[KODE BARANG],Table1[[#This Row],[KODE BARANG]],Table4[JUMLAH MASUK])</f>
        <v>0</v>
      </c>
      <c r="E50" s="1">
        <f>SUMIF(Table5[KODE BARANG],Table1[[#This Row],[KODE BARANG]],Table5[JUMLAH KELUAR])</f>
        <v>0</v>
      </c>
      <c r="F50" s="1">
        <f>Table1[[#This Row],[STOK AWAL]]+Table1[[#This Row],[MASUK]]-Table1[[#This Row],[KELUAR]]</f>
        <v>0</v>
      </c>
    </row>
    <row r="51" spans="3:6" x14ac:dyDescent="0.25">
      <c r="C51" s="1"/>
      <c r="D51" s="1">
        <f>SUMIF(Table4[KODE BARANG],Table1[[#This Row],[KODE BARANG]],Table4[JUMLAH MASUK])</f>
        <v>0</v>
      </c>
      <c r="E51" s="1">
        <f>SUMIF(Table5[KODE BARANG],Table1[[#This Row],[KODE BARANG]],Table5[JUMLAH KELUAR])</f>
        <v>0</v>
      </c>
      <c r="F51" s="1">
        <f>Table1[[#This Row],[STOK AWAL]]+Table1[[#This Row],[MASUK]]-Table1[[#This Row],[KELUAR]]</f>
        <v>0</v>
      </c>
    </row>
    <row r="52" spans="3:6" x14ac:dyDescent="0.25">
      <c r="C52" s="1"/>
      <c r="D52" s="1">
        <f>SUMIF(Table4[KODE BARANG],Table1[[#This Row],[KODE BARANG]],Table4[JUMLAH MASUK])</f>
        <v>0</v>
      </c>
      <c r="E52" s="1">
        <f>SUMIF(Table5[KODE BARANG],Table1[[#This Row],[KODE BARANG]],Table5[JUMLAH KELUAR])</f>
        <v>0</v>
      </c>
      <c r="F52" s="1">
        <f>Table1[[#This Row],[STOK AWAL]]+Table1[[#This Row],[MASUK]]-Table1[[#This Row],[KELUAR]]</f>
        <v>0</v>
      </c>
    </row>
    <row r="53" spans="3:6" x14ac:dyDescent="0.25">
      <c r="C53" s="1"/>
      <c r="D53" s="1">
        <f>SUMIF(Table4[KODE BARANG],Table1[[#This Row],[KODE BARANG]],Table4[JUMLAH MASUK])</f>
        <v>0</v>
      </c>
      <c r="E53" s="1">
        <f>SUMIF(Table5[KODE BARANG],Table1[[#This Row],[KODE BARANG]],Table5[JUMLAH KELUAR])</f>
        <v>0</v>
      </c>
      <c r="F53" s="1">
        <f>Table1[[#This Row],[STOK AWAL]]+Table1[[#This Row],[MASUK]]-Table1[[#This Row],[KELUAR]]</f>
        <v>0</v>
      </c>
    </row>
    <row r="54" spans="3:6" x14ac:dyDescent="0.25">
      <c r="C54" s="1"/>
      <c r="D54" s="1">
        <f>SUMIF(Table4[KODE BARANG],Table1[[#This Row],[KODE BARANG]],Table4[JUMLAH MASUK])</f>
        <v>0</v>
      </c>
      <c r="E54" s="1">
        <f>SUMIF(Table5[KODE BARANG],Table1[[#This Row],[KODE BARANG]],Table5[JUMLAH KELUAR])</f>
        <v>0</v>
      </c>
      <c r="F54" s="1">
        <f>Table1[[#This Row],[STOK AWAL]]+Table1[[#This Row],[MASUK]]-Table1[[#This Row],[KELUAR]]</f>
        <v>0</v>
      </c>
    </row>
    <row r="55" spans="3:6" x14ac:dyDescent="0.25">
      <c r="C55" s="1"/>
      <c r="D55" s="1">
        <f>SUMIF(Table4[KODE BARANG],Table1[[#This Row],[KODE BARANG]],Table4[JUMLAH MASUK])</f>
        <v>0</v>
      </c>
      <c r="E55" s="1">
        <f>SUMIF(Table5[KODE BARANG],Table1[[#This Row],[KODE BARANG]],Table5[JUMLAH KELUAR])</f>
        <v>0</v>
      </c>
      <c r="F55" s="1">
        <f>Table1[[#This Row],[STOK AWAL]]+Table1[[#This Row],[MASUK]]-Table1[[#This Row],[KELUAR]]</f>
        <v>0</v>
      </c>
    </row>
    <row r="56" spans="3:6" x14ac:dyDescent="0.25">
      <c r="C56" s="1"/>
      <c r="D56" s="1">
        <f>SUMIF(Table4[KODE BARANG],Table1[[#This Row],[KODE BARANG]],Table4[JUMLAH MASUK])</f>
        <v>0</v>
      </c>
      <c r="E56" s="1">
        <f>SUMIF(Table5[KODE BARANG],Table1[[#This Row],[KODE BARANG]],Table5[JUMLAH KELUAR])</f>
        <v>0</v>
      </c>
      <c r="F56" s="1">
        <f>Table1[[#This Row],[STOK AWAL]]+Table1[[#This Row],[MASUK]]-Table1[[#This Row],[KELUAR]]</f>
        <v>0</v>
      </c>
    </row>
    <row r="57" spans="3:6" x14ac:dyDescent="0.25">
      <c r="C57" s="1"/>
      <c r="D57" s="1">
        <f>SUMIF(Table4[KODE BARANG],Table1[[#This Row],[KODE BARANG]],Table4[JUMLAH MASUK])</f>
        <v>0</v>
      </c>
      <c r="E57" s="1">
        <f>SUMIF(Table5[KODE BARANG],Table1[[#This Row],[KODE BARANG]],Table5[JUMLAH KELUAR])</f>
        <v>0</v>
      </c>
      <c r="F57" s="1">
        <f>Table1[[#This Row],[STOK AWAL]]+Table1[[#This Row],[MASUK]]-Table1[[#This Row],[KELUAR]]</f>
        <v>0</v>
      </c>
    </row>
    <row r="58" spans="3:6" x14ac:dyDescent="0.25">
      <c r="C58" s="1"/>
      <c r="D58" s="1">
        <f>SUMIF(Table4[KODE BARANG],Table1[[#This Row],[KODE BARANG]],Table4[JUMLAH MASUK])</f>
        <v>0</v>
      </c>
      <c r="E58" s="1">
        <f>SUMIF(Table5[KODE BARANG],Table1[[#This Row],[KODE BARANG]],Table5[JUMLAH KELUAR])</f>
        <v>0</v>
      </c>
      <c r="F58" s="1">
        <f>Table1[[#This Row],[STOK AWAL]]+Table1[[#This Row],[MASUK]]-Table1[[#This Row],[KELUAR]]</f>
        <v>0</v>
      </c>
    </row>
    <row r="59" spans="3:6" x14ac:dyDescent="0.25">
      <c r="C59" s="1"/>
      <c r="D59" s="1">
        <f>SUMIF(Table4[KODE BARANG],Table1[[#This Row],[KODE BARANG]],Table4[JUMLAH MASUK])</f>
        <v>0</v>
      </c>
      <c r="E59" s="1">
        <f>SUMIF(Table5[KODE BARANG],Table1[[#This Row],[KODE BARANG]],Table5[JUMLAH KELUAR])</f>
        <v>0</v>
      </c>
      <c r="F59" s="1">
        <f>Table1[[#This Row],[STOK AWAL]]+Table1[[#This Row],[MASUK]]-Table1[[#This Row],[KELUAR]]</f>
        <v>0</v>
      </c>
    </row>
    <row r="60" spans="3:6" x14ac:dyDescent="0.25">
      <c r="C60" s="1"/>
      <c r="D60" s="1">
        <f>SUMIF(Table4[KODE BARANG],Table1[[#This Row],[KODE BARANG]],Table4[JUMLAH MASUK])</f>
        <v>0</v>
      </c>
      <c r="E60" s="1">
        <f>SUMIF(Table5[KODE BARANG],Table1[[#This Row],[KODE BARANG]],Table5[JUMLAH KELUAR])</f>
        <v>0</v>
      </c>
      <c r="F60" s="1">
        <f>Table1[[#This Row],[STOK AWAL]]+Table1[[#This Row],[MASUK]]-Table1[[#This Row],[KELUAR]]</f>
        <v>0</v>
      </c>
    </row>
    <row r="61" spans="3:6" x14ac:dyDescent="0.25">
      <c r="C61" s="1"/>
      <c r="D61" s="1">
        <f>SUMIF(Table4[KODE BARANG],Table1[[#This Row],[KODE BARANG]],Table4[JUMLAH MASUK])</f>
        <v>0</v>
      </c>
      <c r="E61" s="1">
        <f>SUMIF(Table5[KODE BARANG],Table1[[#This Row],[KODE BARANG]],Table5[JUMLAH KELUAR])</f>
        <v>0</v>
      </c>
      <c r="F61" s="1">
        <f>Table1[[#This Row],[STOK AWAL]]+Table1[[#This Row],[MASUK]]-Table1[[#This Row],[KELUAR]]</f>
        <v>0</v>
      </c>
    </row>
    <row r="62" spans="3:6" x14ac:dyDescent="0.25">
      <c r="C62" s="1"/>
      <c r="D62" s="1">
        <f>SUMIF(Table4[KODE BARANG],Table1[[#This Row],[KODE BARANG]],Table4[JUMLAH MASUK])</f>
        <v>0</v>
      </c>
      <c r="E62" s="1">
        <f>SUMIF(Table5[KODE BARANG],Table1[[#This Row],[KODE BARANG]],Table5[JUMLAH KELUAR])</f>
        <v>0</v>
      </c>
      <c r="F62" s="1">
        <f>Table1[[#This Row],[STOK AWAL]]+Table1[[#This Row],[MASUK]]-Table1[[#This Row],[KELUAR]]</f>
        <v>0</v>
      </c>
    </row>
    <row r="63" spans="3:6" x14ac:dyDescent="0.25">
      <c r="C63" s="1"/>
      <c r="D63" s="1">
        <f>SUMIF(Table4[KODE BARANG],Table1[[#This Row],[KODE BARANG]],Table4[JUMLAH MASUK])</f>
        <v>0</v>
      </c>
      <c r="E63" s="1">
        <f>SUMIF(Table5[KODE BARANG],Table1[[#This Row],[KODE BARANG]],Table5[JUMLAH KELUAR])</f>
        <v>0</v>
      </c>
      <c r="F63" s="1">
        <f>Table1[[#This Row],[STOK AWAL]]+Table1[[#This Row],[MASUK]]-Table1[[#This Row],[KELUAR]]</f>
        <v>0</v>
      </c>
    </row>
    <row r="64" spans="3:6" x14ac:dyDescent="0.25">
      <c r="C64" s="1"/>
      <c r="D64" s="1">
        <f>SUMIF(Table4[KODE BARANG],Table1[[#This Row],[KODE BARANG]],Table4[JUMLAH MASUK])</f>
        <v>0</v>
      </c>
      <c r="E64" s="1">
        <f>SUMIF(Table5[KODE BARANG],Table1[[#This Row],[KODE BARANG]],Table5[JUMLAH KELUAR])</f>
        <v>0</v>
      </c>
      <c r="F64" s="1">
        <f>Table1[[#This Row],[STOK AWAL]]+Table1[[#This Row],[MASUK]]-Table1[[#This Row],[KELUAR]]</f>
        <v>0</v>
      </c>
    </row>
  </sheetData>
  <mergeCells count="2">
    <mergeCell ref="A1:F1"/>
    <mergeCell ref="A2:F2"/>
  </mergeCells>
  <phoneticPr fontId="3" type="noConversion"/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A2842-20B9-4F6A-A917-B0D678E47974}">
  <dimension ref="A1:E8"/>
  <sheetViews>
    <sheetView workbookViewId="0">
      <selection activeCell="C6" sqref="C6"/>
    </sheetView>
  </sheetViews>
  <sheetFormatPr defaultRowHeight="15" x14ac:dyDescent="0.25"/>
  <cols>
    <col min="1" max="1" width="6.140625" style="1" bestFit="1" customWidth="1"/>
    <col min="2" max="2" width="12" bestFit="1" customWidth="1"/>
    <col min="3" max="3" width="16.42578125" bestFit="1" customWidth="1"/>
    <col min="4" max="4" width="17.42578125" bestFit="1" customWidth="1"/>
    <col min="5" max="5" width="18" bestFit="1" customWidth="1"/>
  </cols>
  <sheetData>
    <row r="1" spans="1:5" ht="23.25" x14ac:dyDescent="0.35">
      <c r="A1" s="13" t="s">
        <v>39</v>
      </c>
      <c r="B1" s="13"/>
      <c r="C1" s="13"/>
      <c r="D1" s="13"/>
      <c r="E1" s="13"/>
    </row>
    <row r="3" spans="1:5" x14ac:dyDescent="0.25">
      <c r="A3" s="1" t="s">
        <v>34</v>
      </c>
      <c r="B3" t="s">
        <v>35</v>
      </c>
      <c r="C3" t="s">
        <v>28</v>
      </c>
      <c r="D3" t="s">
        <v>29</v>
      </c>
      <c r="E3" t="s">
        <v>36</v>
      </c>
    </row>
    <row r="4" spans="1:5" x14ac:dyDescent="0.25">
      <c r="A4" s="1">
        <f t="shared" ref="A4:A8" si="0">ROW()-3</f>
        <v>1</v>
      </c>
      <c r="C4" t="s">
        <v>80</v>
      </c>
      <c r="D4" t="str">
        <f>IFERROR(VLOOKUP(Table4[[#This Row],[KODE BARANG]],Table1[[KODE BARANG]:[NAMA BARANG]],2,FALSE),"")</f>
        <v>ROUTER F660</v>
      </c>
      <c r="E4">
        <v>50</v>
      </c>
    </row>
    <row r="5" spans="1:5" x14ac:dyDescent="0.25">
      <c r="A5" s="1">
        <f t="shared" si="0"/>
        <v>2</v>
      </c>
      <c r="C5" s="3" t="s">
        <v>79</v>
      </c>
      <c r="D5" t="str">
        <f>IFERROR(VLOOKUP(Table4[[#This Row],[KODE BARANG]],Table1[[KODE BARANG]:[NAMA BARANG]],2,FALSE),"")</f>
        <v>ROUTER F680 L</v>
      </c>
      <c r="E5">
        <v>10</v>
      </c>
    </row>
    <row r="6" spans="1:5" x14ac:dyDescent="0.25">
      <c r="A6" s="1">
        <f t="shared" si="0"/>
        <v>3</v>
      </c>
      <c r="D6" t="str">
        <f>IFERROR(VLOOKUP(Table4[[#This Row],[KODE BARANG]],Table1[[KODE BARANG]:[NAMA BARANG]],2,FALSE),"")</f>
        <v/>
      </c>
    </row>
    <row r="7" spans="1:5" x14ac:dyDescent="0.25">
      <c r="A7" s="1">
        <f t="shared" si="0"/>
        <v>4</v>
      </c>
      <c r="D7" t="str">
        <f>IFERROR(VLOOKUP(Table4[[#This Row],[KODE BARANG]],Table1[[KODE BARANG]:[NAMA BARANG]],2,FALSE),"")</f>
        <v/>
      </c>
    </row>
    <row r="8" spans="1:5" x14ac:dyDescent="0.25">
      <c r="A8" s="1">
        <f t="shared" si="0"/>
        <v>5</v>
      </c>
      <c r="D8" t="str">
        <f>IFERROR(VLOOKUP(Table4[[#This Row],[KODE BARANG]],Table1[[KODE BARANG]:[NAMA BARANG]],2,FALSE),"")</f>
        <v/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79F53-9757-4914-8B17-C28749E4DCAE}">
  <dimension ref="A1:J249"/>
  <sheetViews>
    <sheetView tabSelected="1" workbookViewId="0">
      <selection activeCell="C58" sqref="C58"/>
    </sheetView>
  </sheetViews>
  <sheetFormatPr defaultRowHeight="15" x14ac:dyDescent="0.25"/>
  <cols>
    <col min="1" max="1" width="6.140625" style="1" bestFit="1" customWidth="1"/>
    <col min="2" max="2" width="12" bestFit="1" customWidth="1"/>
    <col min="3" max="3" width="16.42578125" bestFit="1" customWidth="1"/>
    <col min="4" max="4" width="26.28515625" bestFit="1" customWidth="1"/>
    <col min="5" max="5" width="18.140625" style="1" bestFit="1" customWidth="1"/>
    <col min="6" max="6" width="21" style="1" bestFit="1" customWidth="1"/>
    <col min="7" max="7" width="14.140625" style="1" bestFit="1" customWidth="1"/>
    <col min="9" max="9" width="12.140625" bestFit="1" customWidth="1"/>
  </cols>
  <sheetData>
    <row r="1" spans="1:7" ht="23.25" x14ac:dyDescent="0.35">
      <c r="A1" s="13" t="s">
        <v>40</v>
      </c>
      <c r="B1" s="13"/>
      <c r="C1" s="13"/>
      <c r="D1" s="13"/>
      <c r="E1" s="13"/>
      <c r="F1" s="13"/>
    </row>
    <row r="3" spans="1:7" x14ac:dyDescent="0.25">
      <c r="A3" s="1" t="s">
        <v>34</v>
      </c>
      <c r="B3" t="s">
        <v>35</v>
      </c>
      <c r="C3" t="s">
        <v>28</v>
      </c>
      <c r="D3" t="s">
        <v>29</v>
      </c>
      <c r="E3" s="9" t="s">
        <v>41</v>
      </c>
      <c r="F3" s="9" t="s">
        <v>42</v>
      </c>
      <c r="G3" s="9" t="s">
        <v>43</v>
      </c>
    </row>
    <row r="4" spans="1:7" x14ac:dyDescent="0.25">
      <c r="A4" s="1">
        <f t="shared" ref="A4:A67" si="0">ROW()-3</f>
        <v>1</v>
      </c>
      <c r="B4" s="8">
        <v>46266</v>
      </c>
      <c r="C4" s="7" t="s">
        <v>83</v>
      </c>
      <c r="D4" t="str">
        <f>IFERROR(VLOOKUP(Table5[[#This Row],[KODE BARANG]],Table1[[KODE BARANG]:[NAMA BARANG]],2,FALSE),"")</f>
        <v>SOLASI HITAM</v>
      </c>
      <c r="E4" s="1">
        <v>1</v>
      </c>
      <c r="F4" s="1" t="s">
        <v>59</v>
      </c>
      <c r="G4" s="1" t="s">
        <v>60</v>
      </c>
    </row>
    <row r="5" spans="1:7" x14ac:dyDescent="0.25">
      <c r="A5" s="1">
        <f t="shared" si="0"/>
        <v>2</v>
      </c>
      <c r="B5" s="8">
        <v>46267</v>
      </c>
      <c r="C5" s="7" t="s">
        <v>81</v>
      </c>
      <c r="D5" t="str">
        <f>IFERROR(VLOOKUP(Table5[[#This Row],[KODE BARANG]],Table1[[KODE BARANG]:[NAMA BARANG]],2,FALSE),"")</f>
        <v>ROSET</v>
      </c>
      <c r="E5" s="1">
        <v>2</v>
      </c>
      <c r="F5" s="1" t="s">
        <v>61</v>
      </c>
      <c r="G5" s="1" t="s">
        <v>62</v>
      </c>
    </row>
    <row r="6" spans="1:7" x14ac:dyDescent="0.25">
      <c r="A6" s="1">
        <f t="shared" si="0"/>
        <v>3</v>
      </c>
      <c r="B6" s="8">
        <v>46267</v>
      </c>
      <c r="C6" s="7" t="s">
        <v>82</v>
      </c>
      <c r="D6" t="str">
        <f>IFERROR(VLOOKUP(Table5[[#This Row],[KODE BARANG]],Table1[[KODE BARANG]:[NAMA BARANG]],2,FALSE),"")</f>
        <v>PATHCORD</v>
      </c>
      <c r="E6" s="1">
        <v>2</v>
      </c>
      <c r="F6" s="1" t="s">
        <v>61</v>
      </c>
      <c r="G6" s="1" t="s">
        <v>62</v>
      </c>
    </row>
    <row r="7" spans="1:7" x14ac:dyDescent="0.25">
      <c r="A7" s="1">
        <f t="shared" si="0"/>
        <v>4</v>
      </c>
      <c r="B7" s="8">
        <v>46267</v>
      </c>
      <c r="C7" s="7" t="s">
        <v>84</v>
      </c>
      <c r="D7" t="str">
        <f>IFERROR(VLOOKUP(Table5[[#This Row],[KODE BARANG]],Table1[[KODE BARANG]:[NAMA BARANG]],2,FALSE),"")</f>
        <v>KLEM PAKU</v>
      </c>
      <c r="E7" s="1">
        <v>2</v>
      </c>
      <c r="F7" s="1" t="s">
        <v>61</v>
      </c>
      <c r="G7" s="1" t="s">
        <v>62</v>
      </c>
    </row>
    <row r="8" spans="1:7" x14ac:dyDescent="0.25">
      <c r="A8" s="1">
        <f t="shared" si="0"/>
        <v>5</v>
      </c>
      <c r="B8" s="8">
        <v>46267</v>
      </c>
      <c r="C8" t="s">
        <v>95</v>
      </c>
      <c r="D8" t="str">
        <f>IFERROR(VLOOKUP(Table5[[#This Row],[KODE BARANG]],Table1[[KODE BARANG]:[NAMA BARANG]],2,FALSE),"")</f>
        <v>ODP TARMOC 1:16 CORE</v>
      </c>
      <c r="E8" s="1">
        <v>3</v>
      </c>
      <c r="F8" s="1" t="s">
        <v>63</v>
      </c>
      <c r="G8" s="1" t="s">
        <v>64</v>
      </c>
    </row>
    <row r="9" spans="1:7" x14ac:dyDescent="0.25">
      <c r="A9" s="1">
        <f t="shared" si="0"/>
        <v>6</v>
      </c>
      <c r="B9" s="8">
        <v>46269</v>
      </c>
      <c r="C9" s="7" t="s">
        <v>82</v>
      </c>
      <c r="D9" t="str">
        <f>IFERROR(VLOOKUP(Table5[[#This Row],[KODE BARANG]],Table1[[KODE BARANG]:[NAMA BARANG]],2,FALSE),"")</f>
        <v>PATHCORD</v>
      </c>
      <c r="E9" s="1">
        <v>1</v>
      </c>
      <c r="F9" s="1" t="s">
        <v>59</v>
      </c>
      <c r="G9" s="1" t="s">
        <v>65</v>
      </c>
    </row>
    <row r="10" spans="1:7" x14ac:dyDescent="0.25">
      <c r="A10" s="1">
        <f t="shared" si="0"/>
        <v>7</v>
      </c>
      <c r="B10" s="8">
        <v>46269</v>
      </c>
      <c r="C10" t="s">
        <v>95</v>
      </c>
      <c r="D10" t="str">
        <f>IFERROR(VLOOKUP(Table5[[#This Row],[KODE BARANG]],Table1[[KODE BARANG]:[NAMA BARANG]],2,FALSE),"")</f>
        <v>ODP TARMOC 1:16 CORE</v>
      </c>
      <c r="E10" s="1">
        <v>3</v>
      </c>
      <c r="F10" s="1" t="s">
        <v>63</v>
      </c>
      <c r="G10" s="1" t="s">
        <v>66</v>
      </c>
    </row>
    <row r="11" spans="1:7" x14ac:dyDescent="0.25">
      <c r="A11" s="1">
        <f t="shared" si="0"/>
        <v>8</v>
      </c>
      <c r="B11" s="8">
        <v>46269</v>
      </c>
      <c r="C11" t="s">
        <v>97</v>
      </c>
      <c r="D11" t="str">
        <f>IFERROR(VLOOKUP(Table5[[#This Row],[KODE BARANG]],Table1[[KODE BARANG]:[NAMA BARANG]],2,FALSE),"")</f>
        <v xml:space="preserve">SPLITTER TARMOC 1:16 </v>
      </c>
      <c r="E11" s="1">
        <v>3</v>
      </c>
      <c r="F11" s="1" t="s">
        <v>63</v>
      </c>
      <c r="G11" s="1" t="s">
        <v>66</v>
      </c>
    </row>
    <row r="12" spans="1:7" x14ac:dyDescent="0.25">
      <c r="A12" s="1">
        <f t="shared" si="0"/>
        <v>9</v>
      </c>
      <c r="B12" s="8">
        <v>46269</v>
      </c>
      <c r="C12" t="s">
        <v>90</v>
      </c>
      <c r="D12" t="str">
        <f>IFERROR(VLOOKUP(Table5[[#This Row],[KODE BARANG]],Table1[[KODE BARANG]:[NAMA BARANG]],2,FALSE),"")</f>
        <v>SELING ODP</v>
      </c>
      <c r="E12" s="1">
        <v>6</v>
      </c>
      <c r="F12" s="1" t="s">
        <v>63</v>
      </c>
      <c r="G12" s="1" t="s">
        <v>66</v>
      </c>
    </row>
    <row r="13" spans="1:7" x14ac:dyDescent="0.25">
      <c r="A13" s="1">
        <f t="shared" si="0"/>
        <v>10</v>
      </c>
      <c r="B13" s="8">
        <v>46269</v>
      </c>
      <c r="C13" t="s">
        <v>111</v>
      </c>
      <c r="D13" t="str">
        <f>IFERROR(VLOOKUP(Table5[[#This Row],[KODE BARANG]],Table1[[KODE BARANG]:[NAMA BARANG]],2,FALSE),"")</f>
        <v>RASIO ODP 16 (RAGAMUKTI)</v>
      </c>
      <c r="E13" s="1">
        <v>3</v>
      </c>
      <c r="F13" s="1" t="s">
        <v>63</v>
      </c>
      <c r="G13" s="1" t="s">
        <v>66</v>
      </c>
    </row>
    <row r="14" spans="1:7" ht="30" x14ac:dyDescent="0.25">
      <c r="A14" s="1">
        <f t="shared" si="0"/>
        <v>11</v>
      </c>
      <c r="B14" s="8">
        <v>46269</v>
      </c>
      <c r="C14" s="12" t="s">
        <v>80</v>
      </c>
      <c r="D14" s="12" t="str">
        <f>IFERROR(VLOOKUP(Table5[[#This Row],[KODE BARANG]],Table1[[KODE BARANG]:[NAMA BARANG]],2,FALSE),"")</f>
        <v>ROUTER F660</v>
      </c>
      <c r="E14" s="1">
        <v>9</v>
      </c>
      <c r="F14" s="11" t="s">
        <v>70</v>
      </c>
      <c r="G14" s="1" t="s">
        <v>71</v>
      </c>
    </row>
    <row r="15" spans="1:7" x14ac:dyDescent="0.25">
      <c r="A15" s="1">
        <f t="shared" si="0"/>
        <v>12</v>
      </c>
      <c r="B15" s="8">
        <v>46271</v>
      </c>
      <c r="C15" t="s">
        <v>95</v>
      </c>
      <c r="D15" t="str">
        <f>IFERROR(VLOOKUP(Table5[[#This Row],[KODE BARANG]],Table1[[KODE BARANG]:[NAMA BARANG]],2,FALSE),"")</f>
        <v>ODP TARMOC 1:16 CORE</v>
      </c>
      <c r="E15" s="1">
        <v>4</v>
      </c>
      <c r="F15" s="1" t="s">
        <v>63</v>
      </c>
      <c r="G15" s="1" t="s">
        <v>60</v>
      </c>
    </row>
    <row r="16" spans="1:7" x14ac:dyDescent="0.25">
      <c r="A16" s="1">
        <f t="shared" si="0"/>
        <v>13</v>
      </c>
      <c r="B16" s="8">
        <v>46271</v>
      </c>
      <c r="C16" s="3" t="s">
        <v>104</v>
      </c>
      <c r="D16" t="str">
        <f>IFERROR(VLOOKUP(Table5[[#This Row],[KODE BARANG]],Table1[[KODE BARANG]:[NAMA BARANG]],2,FALSE),"")</f>
        <v>RASIO ODP 16 SC/UPC</v>
      </c>
      <c r="E16" s="1">
        <v>4</v>
      </c>
      <c r="F16" s="1" t="s">
        <v>63</v>
      </c>
      <c r="G16" s="1" t="s">
        <v>60</v>
      </c>
    </row>
    <row r="17" spans="1:7" x14ac:dyDescent="0.25">
      <c r="A17" s="1">
        <f t="shared" si="0"/>
        <v>14</v>
      </c>
      <c r="B17" s="8">
        <v>46271</v>
      </c>
      <c r="C17" t="s">
        <v>90</v>
      </c>
      <c r="D17" t="str">
        <f>IFERROR(VLOOKUP(Table5[[#This Row],[KODE BARANG]],Table1[[KODE BARANG]:[NAMA BARANG]],2,FALSE),"")</f>
        <v>SELING ODP</v>
      </c>
      <c r="E17" s="1">
        <v>4</v>
      </c>
      <c r="F17" s="1" t="s">
        <v>63</v>
      </c>
      <c r="G17" s="1" t="s">
        <v>60</v>
      </c>
    </row>
    <row r="18" spans="1:7" x14ac:dyDescent="0.25">
      <c r="A18" s="1">
        <f t="shared" si="0"/>
        <v>15</v>
      </c>
      <c r="B18" s="8">
        <v>46271</v>
      </c>
      <c r="C18" s="7" t="s">
        <v>82</v>
      </c>
      <c r="D18" t="str">
        <f>IFERROR(VLOOKUP(Table5[[#This Row],[KODE BARANG]],Table1[[KODE BARANG]:[NAMA BARANG]],2,FALSE),"")</f>
        <v>PATHCORD</v>
      </c>
      <c r="E18" s="1">
        <v>1</v>
      </c>
      <c r="F18" s="1" t="s">
        <v>59</v>
      </c>
      <c r="G18" s="1" t="s">
        <v>65</v>
      </c>
    </row>
    <row r="19" spans="1:7" x14ac:dyDescent="0.25">
      <c r="A19" s="1">
        <f t="shared" si="0"/>
        <v>16</v>
      </c>
      <c r="B19" s="8">
        <v>46271</v>
      </c>
      <c r="C19" s="7" t="s">
        <v>83</v>
      </c>
      <c r="D19" t="str">
        <f>IFERROR(VLOOKUP(Table5[[#This Row],[KODE BARANG]],Table1[[KODE BARANG]:[NAMA BARANG]],2,FALSE),"")</f>
        <v>SOLASI HITAM</v>
      </c>
      <c r="E19" s="1">
        <v>1</v>
      </c>
      <c r="F19" s="1" t="s">
        <v>59</v>
      </c>
      <c r="G19" s="1" t="s">
        <v>65</v>
      </c>
    </row>
    <row r="20" spans="1:7" x14ac:dyDescent="0.25">
      <c r="A20" s="1">
        <f t="shared" si="0"/>
        <v>17</v>
      </c>
      <c r="B20" s="8">
        <v>46272</v>
      </c>
      <c r="C20" t="s">
        <v>90</v>
      </c>
      <c r="D20" t="str">
        <f>IFERROR(VLOOKUP(Table5[[#This Row],[KODE BARANG]],Table1[[KODE BARANG]:[NAMA BARANG]],2,FALSE),"")</f>
        <v>SELING ODP</v>
      </c>
      <c r="E20" s="1">
        <v>2</v>
      </c>
      <c r="F20" s="1" t="s">
        <v>63</v>
      </c>
      <c r="G20" s="1" t="s">
        <v>66</v>
      </c>
    </row>
    <row r="21" spans="1:7" x14ac:dyDescent="0.25">
      <c r="A21" s="1">
        <f t="shared" si="0"/>
        <v>18</v>
      </c>
      <c r="B21" s="8">
        <v>46272</v>
      </c>
      <c r="C21" t="s">
        <v>98</v>
      </c>
      <c r="D21" t="str">
        <f>IFERROR(VLOOKUP(Table5[[#This Row],[KODE BARANG]],Table1[[KODE BARANG]:[NAMA BARANG]],2,FALSE),"")</f>
        <v>SPLITTER TARMOC 1:8</v>
      </c>
      <c r="E21" s="1">
        <v>1</v>
      </c>
      <c r="F21" s="1" t="s">
        <v>63</v>
      </c>
      <c r="G21" s="1" t="s">
        <v>66</v>
      </c>
    </row>
    <row r="22" spans="1:7" x14ac:dyDescent="0.25">
      <c r="A22" s="1">
        <f t="shared" si="0"/>
        <v>19</v>
      </c>
      <c r="B22" s="8">
        <v>46272</v>
      </c>
      <c r="C22" t="s">
        <v>115</v>
      </c>
      <c r="D22" t="str">
        <f>IFERROR(VLOOKUP(Table5[[#This Row],[KODE BARANG]],Table1[[KODE BARANG]:[NAMA BARANG]],2,FALSE),"")</f>
        <v>RJ45 BELDEN UTP</v>
      </c>
      <c r="E22" s="1">
        <v>1</v>
      </c>
      <c r="F22" s="1" t="s">
        <v>63</v>
      </c>
      <c r="G22" s="1" t="s">
        <v>66</v>
      </c>
    </row>
    <row r="23" spans="1:7" x14ac:dyDescent="0.25">
      <c r="A23" s="1">
        <f t="shared" si="0"/>
        <v>20</v>
      </c>
      <c r="B23" s="8">
        <v>46272</v>
      </c>
      <c r="C23" t="s">
        <v>95</v>
      </c>
      <c r="D23" t="str">
        <f>IFERROR(VLOOKUP(Table5[[#This Row],[KODE BARANG]],Table1[[KODE BARANG]:[NAMA BARANG]],2,FALSE),"")</f>
        <v>ODP TARMOC 1:16 CORE</v>
      </c>
      <c r="E23" s="1">
        <v>1</v>
      </c>
      <c r="F23" s="1" t="s">
        <v>63</v>
      </c>
      <c r="G23" s="1" t="s">
        <v>66</v>
      </c>
    </row>
    <row r="24" spans="1:7" ht="30" x14ac:dyDescent="0.25">
      <c r="A24" s="1">
        <f t="shared" si="0"/>
        <v>21</v>
      </c>
      <c r="B24" s="8">
        <v>46272</v>
      </c>
      <c r="C24" s="12" t="s">
        <v>78</v>
      </c>
      <c r="D24" s="12" t="str">
        <f>IFERROR(VLOOKUP(Table5[[#This Row],[KODE BARANG]],Table1[[KODE BARANG]:[NAMA BARANG]],2,FALSE),"")</f>
        <v>ROUTER F670 L</v>
      </c>
      <c r="E24" s="1">
        <v>3</v>
      </c>
      <c r="F24" s="1" t="s">
        <v>61</v>
      </c>
      <c r="G24" s="11" t="s">
        <v>72</v>
      </c>
    </row>
    <row r="25" spans="1:7" ht="30" x14ac:dyDescent="0.25">
      <c r="A25" s="1">
        <f t="shared" si="0"/>
        <v>22</v>
      </c>
      <c r="B25" s="8">
        <v>46272</v>
      </c>
      <c r="C25" s="7" t="s">
        <v>81</v>
      </c>
      <c r="D25" s="12" t="str">
        <f>IFERROR(VLOOKUP(Table5[[#This Row],[KODE BARANG]],Table1[[KODE BARANG]:[NAMA BARANG]],2,FALSE),"")</f>
        <v>ROSET</v>
      </c>
      <c r="E25" s="1">
        <v>3</v>
      </c>
      <c r="F25" s="1" t="s">
        <v>61</v>
      </c>
      <c r="G25" s="11" t="s">
        <v>72</v>
      </c>
    </row>
    <row r="26" spans="1:7" ht="30" x14ac:dyDescent="0.25">
      <c r="A26" s="1">
        <f t="shared" si="0"/>
        <v>23</v>
      </c>
      <c r="B26" s="8">
        <v>46272</v>
      </c>
      <c r="C26" s="7" t="s">
        <v>82</v>
      </c>
      <c r="D26" s="12" t="str">
        <f>IFERROR(VLOOKUP(Table5[[#This Row],[KODE BARANG]],Table1[[KODE BARANG]:[NAMA BARANG]],2,FALSE),"")</f>
        <v>PATHCORD</v>
      </c>
      <c r="E26" s="1">
        <v>3</v>
      </c>
      <c r="F26" s="1" t="s">
        <v>61</v>
      </c>
      <c r="G26" s="11" t="s">
        <v>72</v>
      </c>
    </row>
    <row r="27" spans="1:7" ht="30" x14ac:dyDescent="0.25">
      <c r="A27" s="1">
        <f t="shared" si="0"/>
        <v>24</v>
      </c>
      <c r="B27" s="8">
        <v>46272</v>
      </c>
      <c r="C27" s="7" t="s">
        <v>84</v>
      </c>
      <c r="D27" s="12" t="str">
        <f>IFERROR(VLOOKUP(Table5[[#This Row],[KODE BARANG]],Table1[[KODE BARANG]:[NAMA BARANG]],2,FALSE),"")</f>
        <v>KLEM PAKU</v>
      </c>
      <c r="E27" s="1">
        <v>1</v>
      </c>
      <c r="F27" s="1" t="s">
        <v>61</v>
      </c>
      <c r="G27" s="11" t="s">
        <v>72</v>
      </c>
    </row>
    <row r="28" spans="1:7" x14ac:dyDescent="0.25">
      <c r="A28" s="1">
        <f t="shared" si="0"/>
        <v>25</v>
      </c>
      <c r="B28" s="8">
        <v>46273</v>
      </c>
      <c r="C28" t="s">
        <v>95</v>
      </c>
      <c r="D28" t="str">
        <f>IFERROR(VLOOKUP(Table5[[#This Row],[KODE BARANG]],Table1[[KODE BARANG]:[NAMA BARANG]],2,FALSE),"")</f>
        <v>ODP TARMOC 1:16 CORE</v>
      </c>
      <c r="E28" s="1">
        <v>3</v>
      </c>
      <c r="F28" s="1" t="s">
        <v>63</v>
      </c>
      <c r="G28" s="1" t="s">
        <v>73</v>
      </c>
    </row>
    <row r="29" spans="1:7" x14ac:dyDescent="0.25">
      <c r="A29" s="1">
        <f t="shared" si="0"/>
        <v>26</v>
      </c>
      <c r="B29" s="8">
        <v>46273</v>
      </c>
      <c r="C29" t="s">
        <v>90</v>
      </c>
      <c r="D29" t="str">
        <f>IFERROR(VLOOKUP(Table5[[#This Row],[KODE BARANG]],Table1[[KODE BARANG]:[NAMA BARANG]],2,FALSE),"")</f>
        <v>SELING ODP</v>
      </c>
      <c r="E29" s="1">
        <v>2</v>
      </c>
      <c r="F29" s="1" t="s">
        <v>63</v>
      </c>
      <c r="G29" s="1" t="s">
        <v>73</v>
      </c>
    </row>
    <row r="30" spans="1:7" x14ac:dyDescent="0.25">
      <c r="A30" s="1">
        <f t="shared" si="0"/>
        <v>27</v>
      </c>
      <c r="B30" s="8">
        <v>46273</v>
      </c>
      <c r="C30" s="3" t="s">
        <v>104</v>
      </c>
      <c r="D30" t="str">
        <f>IFERROR(VLOOKUP(Table5[[#This Row],[KODE BARANG]],Table1[[KODE BARANG]:[NAMA BARANG]],2,FALSE),"")</f>
        <v>RASIO ODP 16 SC/UPC</v>
      </c>
      <c r="E30" s="1">
        <v>3</v>
      </c>
      <c r="F30" s="1" t="s">
        <v>63</v>
      </c>
      <c r="G30" s="1" t="s">
        <v>73</v>
      </c>
    </row>
    <row r="31" spans="1:7" x14ac:dyDescent="0.25">
      <c r="A31" s="1">
        <f t="shared" si="0"/>
        <v>28</v>
      </c>
      <c r="B31" s="8">
        <v>46274</v>
      </c>
      <c r="C31" s="7" t="s">
        <v>81</v>
      </c>
      <c r="D31" t="str">
        <f>IFERROR(VLOOKUP(Table5[[#This Row],[KODE BARANG]],Table1[[KODE BARANG]:[NAMA BARANG]],2,FALSE),"")</f>
        <v>ROSET</v>
      </c>
      <c r="E31" s="1">
        <v>1</v>
      </c>
      <c r="F31" s="1" t="s">
        <v>61</v>
      </c>
      <c r="G31" s="1" t="s">
        <v>60</v>
      </c>
    </row>
    <row r="32" spans="1:7" x14ac:dyDescent="0.25">
      <c r="A32" s="1">
        <f t="shared" si="0"/>
        <v>29</v>
      </c>
      <c r="B32" s="8">
        <v>46274</v>
      </c>
      <c r="C32" s="7" t="s">
        <v>84</v>
      </c>
      <c r="D32" t="str">
        <f>IFERROR(VLOOKUP(Table5[[#This Row],[KODE BARANG]],Table1[[KODE BARANG]:[NAMA BARANG]],2,FALSE),"")</f>
        <v>KLEM PAKU</v>
      </c>
      <c r="E32" s="1">
        <v>1</v>
      </c>
      <c r="F32" s="1" t="s">
        <v>61</v>
      </c>
      <c r="G32" s="1" t="s">
        <v>60</v>
      </c>
    </row>
    <row r="33" spans="1:10" x14ac:dyDescent="0.25">
      <c r="A33" s="1">
        <f t="shared" si="0"/>
        <v>30</v>
      </c>
      <c r="B33" s="8">
        <v>46274</v>
      </c>
      <c r="C33" s="7" t="s">
        <v>83</v>
      </c>
      <c r="D33" t="str">
        <f>IFERROR(VLOOKUP(Table5[[#This Row],[KODE BARANG]],Table1[[KODE BARANG]:[NAMA BARANG]],2,FALSE),"")</f>
        <v>SOLASI HITAM</v>
      </c>
      <c r="E33" s="1">
        <v>1</v>
      </c>
      <c r="F33" s="1" t="s">
        <v>61</v>
      </c>
      <c r="G33" s="1" t="s">
        <v>60</v>
      </c>
    </row>
    <row r="34" spans="1:10" x14ac:dyDescent="0.25">
      <c r="A34" s="1">
        <f t="shared" si="0"/>
        <v>31</v>
      </c>
      <c r="B34" s="8">
        <v>46274</v>
      </c>
      <c r="C34" s="7" t="s">
        <v>82</v>
      </c>
      <c r="D34" t="str">
        <f>IFERROR(VLOOKUP(Table5[[#This Row],[KODE BARANG]],Table1[[KODE BARANG]:[NAMA BARANG]],2,FALSE),"")</f>
        <v>PATHCORD</v>
      </c>
      <c r="E34" s="1">
        <v>1</v>
      </c>
      <c r="F34" s="1" t="s">
        <v>61</v>
      </c>
      <c r="G34" s="1" t="s">
        <v>60</v>
      </c>
    </row>
    <row r="35" spans="1:10" x14ac:dyDescent="0.25">
      <c r="A35" s="1">
        <f t="shared" si="0"/>
        <v>32</v>
      </c>
      <c r="B35" s="8">
        <v>46275</v>
      </c>
      <c r="C35" s="7" t="s">
        <v>84</v>
      </c>
      <c r="D35" t="str">
        <f>IFERROR(VLOOKUP(Table5[[#This Row],[KODE BARANG]],Table1[[KODE BARANG]:[NAMA BARANG]],2,FALSE),"")</f>
        <v>KLEM PAKU</v>
      </c>
      <c r="E35" s="1">
        <v>1</v>
      </c>
      <c r="F35" s="1" t="s">
        <v>59</v>
      </c>
      <c r="G35" s="1" t="s">
        <v>65</v>
      </c>
    </row>
    <row r="36" spans="1:10" x14ac:dyDescent="0.25">
      <c r="A36" s="1">
        <f t="shared" si="0"/>
        <v>33</v>
      </c>
      <c r="B36" s="8">
        <v>46276</v>
      </c>
      <c r="C36" s="12" t="s">
        <v>78</v>
      </c>
      <c r="D36" t="str">
        <f>IFERROR(VLOOKUP(Table5[[#This Row],[KODE BARANG]],Table1[[KODE BARANG]:[NAMA BARANG]],2,FALSE),"")</f>
        <v>ROUTER F670 L</v>
      </c>
      <c r="E36" s="1">
        <v>1</v>
      </c>
      <c r="F36" s="1" t="s">
        <v>59</v>
      </c>
      <c r="G36" s="1" t="s">
        <v>74</v>
      </c>
    </row>
    <row r="37" spans="1:10" x14ac:dyDescent="0.25">
      <c r="A37" s="1">
        <f t="shared" si="0"/>
        <v>34</v>
      </c>
      <c r="B37" s="8">
        <v>46277</v>
      </c>
      <c r="C37" s="12" t="s">
        <v>78</v>
      </c>
      <c r="D37" t="str">
        <f>IFERROR(VLOOKUP(Table5[[#This Row],[KODE BARANG]],Table1[[KODE BARANG]:[NAMA BARANG]],2,FALSE),"")</f>
        <v>ROUTER F670 L</v>
      </c>
      <c r="E37" s="1">
        <v>1</v>
      </c>
      <c r="F37" s="1" t="s">
        <v>59</v>
      </c>
      <c r="G37" s="1" t="s">
        <v>60</v>
      </c>
    </row>
    <row r="38" spans="1:10" x14ac:dyDescent="0.25">
      <c r="A38" s="1">
        <f t="shared" si="0"/>
        <v>35</v>
      </c>
      <c r="B38" s="8">
        <v>46278</v>
      </c>
      <c r="C38" s="7" t="s">
        <v>82</v>
      </c>
      <c r="D38" t="str">
        <f>IFERROR(VLOOKUP(Table5[[#This Row],[KODE BARANG]],Table1[[KODE BARANG]:[NAMA BARANG]],2,FALSE),"")</f>
        <v>PATHCORD</v>
      </c>
      <c r="E38" s="1">
        <v>1</v>
      </c>
      <c r="F38" s="1" t="s">
        <v>59</v>
      </c>
      <c r="G38" s="1" t="s">
        <v>60</v>
      </c>
      <c r="J38" t="s">
        <v>46</v>
      </c>
    </row>
    <row r="39" spans="1:10" x14ac:dyDescent="0.25">
      <c r="A39" s="1">
        <f t="shared" si="0"/>
        <v>36</v>
      </c>
      <c r="B39" s="8">
        <v>46279</v>
      </c>
      <c r="C39" t="s">
        <v>85</v>
      </c>
      <c r="D39" t="str">
        <f>IFERROR(VLOOKUP(Table5[[#This Row],[KODE BARANG]],Table1[[KODE BARANG]:[NAMA BARANG]],2,FALSE),"")</f>
        <v>KABEL FO 1 CORE</v>
      </c>
      <c r="E39" s="1">
        <v>1</v>
      </c>
      <c r="F39" s="1" t="s">
        <v>61</v>
      </c>
      <c r="G39" s="1" t="s">
        <v>75</v>
      </c>
    </row>
    <row r="40" spans="1:10" x14ac:dyDescent="0.25">
      <c r="A40" s="1">
        <f t="shared" si="0"/>
        <v>37</v>
      </c>
      <c r="B40" s="8">
        <v>46279</v>
      </c>
      <c r="C40" s="7" t="s">
        <v>83</v>
      </c>
      <c r="D40" t="str">
        <f>IFERROR(VLOOKUP(Table5[[#This Row],[KODE BARANG]],Table1[[KODE BARANG]:[NAMA BARANG]],2,FALSE),"")</f>
        <v>SOLASI HITAM</v>
      </c>
      <c r="E40" s="1">
        <v>1</v>
      </c>
      <c r="F40" s="1" t="s">
        <v>61</v>
      </c>
      <c r="G40" s="1" t="s">
        <v>75</v>
      </c>
    </row>
    <row r="41" spans="1:10" x14ac:dyDescent="0.25">
      <c r="A41" s="1">
        <f t="shared" si="0"/>
        <v>38</v>
      </c>
      <c r="B41" s="8">
        <v>46279</v>
      </c>
      <c r="C41" s="7" t="s">
        <v>82</v>
      </c>
      <c r="D41" t="str">
        <f>IFERROR(VLOOKUP(Table5[[#This Row],[KODE BARANG]],Table1[[KODE BARANG]:[NAMA BARANG]],2,FALSE),"")</f>
        <v>PATHCORD</v>
      </c>
      <c r="E41" s="1">
        <v>1</v>
      </c>
      <c r="F41" s="1" t="s">
        <v>61</v>
      </c>
      <c r="G41" s="1" t="s">
        <v>75</v>
      </c>
    </row>
    <row r="42" spans="1:10" x14ac:dyDescent="0.25">
      <c r="A42" s="1">
        <f t="shared" si="0"/>
        <v>39</v>
      </c>
      <c r="B42" s="8">
        <v>46280</v>
      </c>
      <c r="C42" t="s">
        <v>115</v>
      </c>
      <c r="D42" t="str">
        <f>IFERROR(VLOOKUP(Table5[[#This Row],[KODE BARANG]],Table1[[KODE BARANG]:[NAMA BARANG]],2,FALSE),"")</f>
        <v>RJ45 BELDEN UTP</v>
      </c>
      <c r="E42" s="1">
        <v>1</v>
      </c>
      <c r="F42" s="1" t="s">
        <v>59</v>
      </c>
      <c r="G42" s="1" t="s">
        <v>60</v>
      </c>
    </row>
    <row r="43" spans="1:10" x14ac:dyDescent="0.25">
      <c r="A43" s="1">
        <f t="shared" si="0"/>
        <v>40</v>
      </c>
      <c r="B43" s="8">
        <v>46280</v>
      </c>
      <c r="C43" s="7" t="s">
        <v>82</v>
      </c>
      <c r="D43" t="str">
        <f>IFERROR(VLOOKUP(Table5[[#This Row],[KODE BARANG]],Table1[[KODE BARANG]:[NAMA BARANG]],2,FALSE),"")</f>
        <v>PATHCORD</v>
      </c>
      <c r="E43" s="1">
        <v>1</v>
      </c>
      <c r="F43" s="1" t="s">
        <v>59</v>
      </c>
      <c r="G43" s="1" t="s">
        <v>60</v>
      </c>
    </row>
    <row r="44" spans="1:10" x14ac:dyDescent="0.25">
      <c r="A44" s="1">
        <f t="shared" si="0"/>
        <v>41</v>
      </c>
      <c r="B44" s="8">
        <v>46280</v>
      </c>
      <c r="C44" s="7" t="s">
        <v>84</v>
      </c>
      <c r="D44" t="str">
        <f>IFERROR(VLOOKUP(Table5[[#This Row],[KODE BARANG]],Table1[[KODE BARANG]:[NAMA BARANG]],2,FALSE),"")</f>
        <v>KLEM PAKU</v>
      </c>
      <c r="E44" s="1">
        <v>2</v>
      </c>
      <c r="F44" s="1" t="s">
        <v>59</v>
      </c>
      <c r="G44" s="1" t="s">
        <v>60</v>
      </c>
    </row>
    <row r="45" spans="1:10" x14ac:dyDescent="0.25">
      <c r="A45" s="1">
        <f t="shared" si="0"/>
        <v>42</v>
      </c>
      <c r="B45" s="8">
        <v>46280</v>
      </c>
      <c r="C45" t="s">
        <v>98</v>
      </c>
      <c r="D45" t="str">
        <f>IFERROR(VLOOKUP(Table5[[#This Row],[KODE BARANG]],Table1[[KODE BARANG]:[NAMA BARANG]],2,FALSE),"")</f>
        <v>SPLITTER TARMOC 1:8</v>
      </c>
      <c r="E45" s="1">
        <v>1</v>
      </c>
      <c r="F45" s="1" t="s">
        <v>63</v>
      </c>
      <c r="G45" s="1" t="s">
        <v>74</v>
      </c>
    </row>
    <row r="46" spans="1:10" x14ac:dyDescent="0.25">
      <c r="A46" s="1">
        <f t="shared" si="0"/>
        <v>43</v>
      </c>
      <c r="B46" s="8">
        <v>46281</v>
      </c>
      <c r="C46" s="7" t="s">
        <v>81</v>
      </c>
      <c r="D46" t="str">
        <f>IFERROR(VLOOKUP(Table5[[#This Row],[KODE BARANG]],Table1[[KODE BARANG]:[NAMA BARANG]],2,FALSE),"")</f>
        <v>ROSET</v>
      </c>
      <c r="E46" s="1">
        <v>1</v>
      </c>
      <c r="F46" s="1" t="s">
        <v>61</v>
      </c>
      <c r="G46" s="1" t="s">
        <v>76</v>
      </c>
    </row>
    <row r="47" spans="1:10" x14ac:dyDescent="0.25">
      <c r="A47" s="1">
        <f t="shared" si="0"/>
        <v>44</v>
      </c>
      <c r="B47" s="8">
        <v>46281</v>
      </c>
      <c r="C47" s="7" t="s">
        <v>82</v>
      </c>
      <c r="D47" t="str">
        <f>IFERROR(VLOOKUP(Table5[[#This Row],[KODE BARANG]],Table1[[KODE BARANG]:[NAMA BARANG]],2,FALSE),"")</f>
        <v>PATHCORD</v>
      </c>
      <c r="E47" s="1">
        <v>1</v>
      </c>
      <c r="F47" s="1" t="s">
        <v>61</v>
      </c>
      <c r="G47" s="1" t="s">
        <v>76</v>
      </c>
    </row>
    <row r="48" spans="1:10" x14ac:dyDescent="0.25">
      <c r="A48" s="1">
        <f t="shared" si="0"/>
        <v>45</v>
      </c>
      <c r="B48" s="8">
        <v>46281</v>
      </c>
      <c r="C48" s="7" t="s">
        <v>84</v>
      </c>
      <c r="D48" t="str">
        <f>IFERROR(VLOOKUP(Table5[[#This Row],[KODE BARANG]],Table1[[KODE BARANG]:[NAMA BARANG]],2,FALSE),"")</f>
        <v>KLEM PAKU</v>
      </c>
      <c r="E48" s="1">
        <v>1</v>
      </c>
      <c r="F48" s="1" t="s">
        <v>61</v>
      </c>
      <c r="G48" s="1" t="s">
        <v>76</v>
      </c>
      <c r="J48" t="s">
        <v>46</v>
      </c>
    </row>
    <row r="49" spans="1:7" x14ac:dyDescent="0.25">
      <c r="A49" s="1">
        <f t="shared" si="0"/>
        <v>46</v>
      </c>
      <c r="B49" s="8">
        <v>46281</v>
      </c>
      <c r="C49" s="12" t="s">
        <v>78</v>
      </c>
      <c r="D49" t="str">
        <f>IFERROR(VLOOKUP(Table5[[#This Row],[KODE BARANG]],Table1[[KODE BARANG]:[NAMA BARANG]],2,FALSE),"")</f>
        <v>ROUTER F670 L</v>
      </c>
      <c r="E49" s="1">
        <v>1</v>
      </c>
      <c r="F49" s="1" t="s">
        <v>59</v>
      </c>
      <c r="G49" s="1" t="s">
        <v>75</v>
      </c>
    </row>
    <row r="50" spans="1:7" x14ac:dyDescent="0.25">
      <c r="A50" s="1">
        <f t="shared" si="0"/>
        <v>47</v>
      </c>
      <c r="B50" s="8">
        <v>46282</v>
      </c>
      <c r="C50" s="7" t="s">
        <v>81</v>
      </c>
      <c r="D50" t="str">
        <f>IFERROR(VLOOKUP(Table5[[#This Row],[KODE BARANG]],Table1[[KODE BARANG]:[NAMA BARANG]],2,FALSE),"")</f>
        <v>ROSET</v>
      </c>
      <c r="E50" s="1">
        <v>1</v>
      </c>
      <c r="F50" s="1" t="s">
        <v>61</v>
      </c>
      <c r="G50" s="1" t="s">
        <v>75</v>
      </c>
    </row>
    <row r="51" spans="1:7" x14ac:dyDescent="0.25">
      <c r="A51" s="1">
        <f t="shared" si="0"/>
        <v>48</v>
      </c>
      <c r="B51" s="8">
        <v>46282</v>
      </c>
      <c r="C51" s="7" t="s">
        <v>82</v>
      </c>
      <c r="D51" t="str">
        <f>IFERROR(VLOOKUP(Table5[[#This Row],[KODE BARANG]],Table1[[KODE BARANG]:[NAMA BARANG]],2,FALSE),"")</f>
        <v>PATHCORD</v>
      </c>
      <c r="E51" s="1">
        <v>1</v>
      </c>
      <c r="F51" s="1" t="s">
        <v>61</v>
      </c>
      <c r="G51" s="1" t="s">
        <v>75</v>
      </c>
    </row>
    <row r="52" spans="1:7" x14ac:dyDescent="0.25">
      <c r="A52" s="1">
        <f t="shared" si="0"/>
        <v>49</v>
      </c>
      <c r="B52" s="8">
        <v>46282</v>
      </c>
      <c r="C52" s="7" t="s">
        <v>84</v>
      </c>
      <c r="D52" t="str">
        <f>IFERROR(VLOOKUP(Table5[[#This Row],[KODE BARANG]],Table1[[KODE BARANG]:[NAMA BARANG]],2,FALSE),"")</f>
        <v>KLEM PAKU</v>
      </c>
      <c r="E52" s="1">
        <v>1</v>
      </c>
      <c r="F52" s="1" t="s">
        <v>61</v>
      </c>
      <c r="G52" s="1" t="s">
        <v>75</v>
      </c>
    </row>
    <row r="53" spans="1:7" x14ac:dyDescent="0.25">
      <c r="A53" s="1">
        <f t="shared" si="0"/>
        <v>50</v>
      </c>
      <c r="B53" s="8">
        <v>46282</v>
      </c>
      <c r="C53" s="7" t="s">
        <v>83</v>
      </c>
      <c r="D53" t="str">
        <f>IFERROR(VLOOKUP(Table5[[#This Row],[KODE BARANG]],Table1[[KODE BARANG]:[NAMA BARANG]],2,FALSE),"")</f>
        <v>SOLASI HITAM</v>
      </c>
      <c r="E53" s="1">
        <v>1</v>
      </c>
      <c r="F53" s="1" t="s">
        <v>59</v>
      </c>
      <c r="G53" s="1" t="s">
        <v>77</v>
      </c>
    </row>
    <row r="54" spans="1:7" x14ac:dyDescent="0.25">
      <c r="A54" s="1">
        <f t="shared" si="0"/>
        <v>51</v>
      </c>
      <c r="B54" s="8">
        <v>46282</v>
      </c>
      <c r="C54" s="7" t="s">
        <v>82</v>
      </c>
      <c r="D54" t="str">
        <f>IFERROR(VLOOKUP(Table5[[#This Row],[KODE BARANG]],Table1[[KODE BARANG]:[NAMA BARANG]],2,FALSE),"")</f>
        <v>PATHCORD</v>
      </c>
      <c r="E54" s="1">
        <v>1</v>
      </c>
      <c r="F54" s="1" t="s">
        <v>59</v>
      </c>
      <c r="G54" s="1" t="s">
        <v>77</v>
      </c>
    </row>
    <row r="55" spans="1:7" x14ac:dyDescent="0.25">
      <c r="A55" s="1">
        <f t="shared" si="0"/>
        <v>52</v>
      </c>
      <c r="B55" s="8">
        <v>46284</v>
      </c>
      <c r="C55" s="7" t="s">
        <v>83</v>
      </c>
      <c r="D55" t="str">
        <f>IFERROR(VLOOKUP(Table5[[#This Row],[KODE BARANG]],Table1[[KODE BARANG]:[NAMA BARANG]],2,FALSE),"")</f>
        <v>SOLASI HITAM</v>
      </c>
      <c r="E55" s="1">
        <v>1</v>
      </c>
      <c r="F55" s="1" t="s">
        <v>59</v>
      </c>
      <c r="G55" s="1" t="s">
        <v>65</v>
      </c>
    </row>
    <row r="56" spans="1:7" x14ac:dyDescent="0.25">
      <c r="A56" s="1">
        <f t="shared" si="0"/>
        <v>53</v>
      </c>
      <c r="B56" s="8">
        <v>46285</v>
      </c>
      <c r="C56" s="7" t="s">
        <v>82</v>
      </c>
      <c r="D56" t="str">
        <f>IFERROR(VLOOKUP(Table5[[#This Row],[KODE BARANG]],Table1[[KODE BARANG]:[NAMA BARANG]],2,FALSE),"")</f>
        <v>PATHCORD</v>
      </c>
      <c r="E56" s="1">
        <v>1</v>
      </c>
      <c r="F56" s="1" t="s">
        <v>59</v>
      </c>
      <c r="G56" s="1" t="s">
        <v>65</v>
      </c>
    </row>
    <row r="57" spans="1:7" x14ac:dyDescent="0.25">
      <c r="A57" s="1">
        <f t="shared" si="0"/>
        <v>54</v>
      </c>
      <c r="B57" s="8">
        <v>46286</v>
      </c>
      <c r="C57" s="7" t="s">
        <v>82</v>
      </c>
      <c r="D57" t="str">
        <f>IFERROR(VLOOKUP(Table5[[#This Row],[KODE BARANG]],Table1[[KODE BARANG]:[NAMA BARANG]],2,FALSE),"")</f>
        <v>PATHCORD</v>
      </c>
      <c r="E57" s="1">
        <v>1</v>
      </c>
      <c r="F57" s="1" t="s">
        <v>59</v>
      </c>
      <c r="G57" s="1" t="s">
        <v>75</v>
      </c>
    </row>
    <row r="58" spans="1:7" x14ac:dyDescent="0.25">
      <c r="A58" s="1">
        <f t="shared" si="0"/>
        <v>55</v>
      </c>
      <c r="C58" s="3"/>
      <c r="D58" t="str">
        <f>IFERROR(VLOOKUP(Table5[[#This Row],[KODE BARANG]],Table1[[KODE BARANG]:[NAMA BARANG]],2,FALSE),"")</f>
        <v/>
      </c>
    </row>
    <row r="59" spans="1:7" x14ac:dyDescent="0.25">
      <c r="A59" s="1">
        <f t="shared" si="0"/>
        <v>56</v>
      </c>
      <c r="D59" t="str">
        <f>IFERROR(VLOOKUP(Table5[[#This Row],[KODE BARANG]],Table1[[KODE BARANG]:[NAMA BARANG]],2,FALSE),"")</f>
        <v/>
      </c>
    </row>
    <row r="60" spans="1:7" x14ac:dyDescent="0.25">
      <c r="A60" s="1">
        <f t="shared" si="0"/>
        <v>57</v>
      </c>
      <c r="D60" t="str">
        <f>IFERROR(VLOOKUP(Table5[[#This Row],[KODE BARANG]],Table1[[KODE BARANG]:[NAMA BARANG]],2,FALSE),"")</f>
        <v/>
      </c>
    </row>
    <row r="61" spans="1:7" x14ac:dyDescent="0.25">
      <c r="A61" s="1">
        <f t="shared" si="0"/>
        <v>58</v>
      </c>
      <c r="D61" t="str">
        <f>IFERROR(VLOOKUP(Table5[[#This Row],[KODE BARANG]],Table1[[KODE BARANG]:[NAMA BARANG]],2,FALSE),"")</f>
        <v/>
      </c>
    </row>
    <row r="62" spans="1:7" x14ac:dyDescent="0.25">
      <c r="A62" s="1">
        <f t="shared" si="0"/>
        <v>59</v>
      </c>
      <c r="D62" t="str">
        <f>IFERROR(VLOOKUP(Table5[[#This Row],[KODE BARANG]],Table1[[KODE BARANG]:[NAMA BARANG]],2,FALSE),"")</f>
        <v/>
      </c>
    </row>
    <row r="63" spans="1:7" x14ac:dyDescent="0.25">
      <c r="A63" s="1">
        <f t="shared" si="0"/>
        <v>60</v>
      </c>
      <c r="D63" t="str">
        <f>IFERROR(VLOOKUP(Table5[[#This Row],[KODE BARANG]],Table1[[KODE BARANG]:[NAMA BARANG]],2,FALSE),"")</f>
        <v/>
      </c>
    </row>
    <row r="64" spans="1:7" x14ac:dyDescent="0.25">
      <c r="A64" s="1">
        <f t="shared" si="0"/>
        <v>61</v>
      </c>
      <c r="D64" t="str">
        <f>IFERROR(VLOOKUP(Table5[[#This Row],[KODE BARANG]],Table1[[KODE BARANG]:[NAMA BARANG]],2,FALSE),"")</f>
        <v/>
      </c>
    </row>
    <row r="65" spans="1:4" x14ac:dyDescent="0.25">
      <c r="A65" s="1">
        <f t="shared" si="0"/>
        <v>62</v>
      </c>
      <c r="D65" t="str">
        <f>IFERROR(VLOOKUP(Table5[[#This Row],[KODE BARANG]],Table1[[KODE BARANG]:[NAMA BARANG]],2,FALSE),"")</f>
        <v/>
      </c>
    </row>
    <row r="66" spans="1:4" x14ac:dyDescent="0.25">
      <c r="A66" s="1">
        <f t="shared" si="0"/>
        <v>63</v>
      </c>
      <c r="D66" t="str">
        <f>IFERROR(VLOOKUP(Table5[[#This Row],[KODE BARANG]],Table1[[KODE BARANG]:[NAMA BARANG]],2,FALSE),"")</f>
        <v/>
      </c>
    </row>
    <row r="67" spans="1:4" x14ac:dyDescent="0.25">
      <c r="A67" s="1">
        <f t="shared" si="0"/>
        <v>64</v>
      </c>
      <c r="D67" t="str">
        <f>IFERROR(VLOOKUP(Table5[[#This Row],[KODE BARANG]],Table1[[KODE BARANG]:[NAMA BARANG]],2,FALSE),"")</f>
        <v/>
      </c>
    </row>
    <row r="68" spans="1:4" x14ac:dyDescent="0.25">
      <c r="A68" s="1">
        <f t="shared" ref="A68:A131" si="1">ROW()-3</f>
        <v>65</v>
      </c>
      <c r="D68" t="str">
        <f>IFERROR(VLOOKUP(Table5[[#This Row],[KODE BARANG]],Table1[[KODE BARANG]:[NAMA BARANG]],2,FALSE),"")</f>
        <v/>
      </c>
    </row>
    <row r="69" spans="1:4" x14ac:dyDescent="0.25">
      <c r="A69" s="1">
        <f t="shared" si="1"/>
        <v>66</v>
      </c>
      <c r="D69" t="str">
        <f>IFERROR(VLOOKUP(Table5[[#This Row],[KODE BARANG]],Table1[[KODE BARANG]:[NAMA BARANG]],2,FALSE),"")</f>
        <v/>
      </c>
    </row>
    <row r="70" spans="1:4" x14ac:dyDescent="0.25">
      <c r="A70" s="1">
        <f t="shared" si="1"/>
        <v>67</v>
      </c>
      <c r="D70" t="str">
        <f>IFERROR(VLOOKUP(Table5[[#This Row],[KODE BARANG]],Table1[[KODE BARANG]:[NAMA BARANG]],2,FALSE),"")</f>
        <v/>
      </c>
    </row>
    <row r="71" spans="1:4" x14ac:dyDescent="0.25">
      <c r="A71" s="1">
        <f t="shared" si="1"/>
        <v>68</v>
      </c>
      <c r="D71" t="str">
        <f>IFERROR(VLOOKUP(Table5[[#This Row],[KODE BARANG]],Table1[[KODE BARANG]:[NAMA BARANG]],2,FALSE),"")</f>
        <v/>
      </c>
    </row>
    <row r="72" spans="1:4" x14ac:dyDescent="0.25">
      <c r="A72" s="1">
        <f t="shared" si="1"/>
        <v>69</v>
      </c>
      <c r="D72" t="str">
        <f>IFERROR(VLOOKUP(Table5[[#This Row],[KODE BARANG]],Table1[[KODE BARANG]:[NAMA BARANG]],2,FALSE),"")</f>
        <v/>
      </c>
    </row>
    <row r="73" spans="1:4" x14ac:dyDescent="0.25">
      <c r="A73" s="1">
        <f t="shared" si="1"/>
        <v>70</v>
      </c>
      <c r="D73" t="str">
        <f>IFERROR(VLOOKUP(Table5[[#This Row],[KODE BARANG]],Table1[[KODE BARANG]:[NAMA BARANG]],2,FALSE),"")</f>
        <v/>
      </c>
    </row>
    <row r="74" spans="1:4" x14ac:dyDescent="0.25">
      <c r="A74" s="1">
        <f t="shared" si="1"/>
        <v>71</v>
      </c>
      <c r="D74" t="str">
        <f>IFERROR(VLOOKUP(Table5[[#This Row],[KODE BARANG]],Table1[[KODE BARANG]:[NAMA BARANG]],2,FALSE),"")</f>
        <v/>
      </c>
    </row>
    <row r="75" spans="1:4" x14ac:dyDescent="0.25">
      <c r="A75" s="1">
        <f t="shared" si="1"/>
        <v>72</v>
      </c>
      <c r="D75" t="str">
        <f>IFERROR(VLOOKUP(Table5[[#This Row],[KODE BARANG]],Table1[[KODE BARANG]:[NAMA BARANG]],2,FALSE),"")</f>
        <v/>
      </c>
    </row>
    <row r="76" spans="1:4" x14ac:dyDescent="0.25">
      <c r="A76" s="1">
        <f t="shared" si="1"/>
        <v>73</v>
      </c>
      <c r="D76" t="str">
        <f>IFERROR(VLOOKUP(Table5[[#This Row],[KODE BARANG]],Table1[[KODE BARANG]:[NAMA BARANG]],2,FALSE),"")</f>
        <v/>
      </c>
    </row>
    <row r="77" spans="1:4" x14ac:dyDescent="0.25">
      <c r="A77" s="1">
        <f t="shared" si="1"/>
        <v>74</v>
      </c>
      <c r="D77" t="str">
        <f>IFERROR(VLOOKUP(Table5[[#This Row],[KODE BARANG]],Table1[[KODE BARANG]:[NAMA BARANG]],2,FALSE),"")</f>
        <v/>
      </c>
    </row>
    <row r="78" spans="1:4" x14ac:dyDescent="0.25">
      <c r="A78" s="1">
        <f t="shared" si="1"/>
        <v>75</v>
      </c>
      <c r="D78" t="str">
        <f>IFERROR(VLOOKUP(Table5[[#This Row],[KODE BARANG]],Table1[[KODE BARANG]:[NAMA BARANG]],2,FALSE),"")</f>
        <v/>
      </c>
    </row>
    <row r="79" spans="1:4" x14ac:dyDescent="0.25">
      <c r="A79" s="1">
        <f t="shared" si="1"/>
        <v>76</v>
      </c>
      <c r="D79" t="str">
        <f>IFERROR(VLOOKUP(Table5[[#This Row],[KODE BARANG]],Table1[[KODE BARANG]:[NAMA BARANG]],2,FALSE),"")</f>
        <v/>
      </c>
    </row>
    <row r="80" spans="1:4" x14ac:dyDescent="0.25">
      <c r="A80" s="1">
        <f t="shared" si="1"/>
        <v>77</v>
      </c>
      <c r="D80" t="str">
        <f>IFERROR(VLOOKUP(Table5[[#This Row],[KODE BARANG]],Table1[[KODE BARANG]:[NAMA BARANG]],2,FALSE),"")</f>
        <v/>
      </c>
    </row>
    <row r="81" spans="1:4" x14ac:dyDescent="0.25">
      <c r="A81" s="1">
        <f t="shared" si="1"/>
        <v>78</v>
      </c>
      <c r="D81" t="str">
        <f>IFERROR(VLOOKUP(Table5[[#This Row],[KODE BARANG]],Table1[[KODE BARANG]:[NAMA BARANG]],2,FALSE),"")</f>
        <v/>
      </c>
    </row>
    <row r="82" spans="1:4" x14ac:dyDescent="0.25">
      <c r="A82" s="1">
        <f t="shared" si="1"/>
        <v>79</v>
      </c>
      <c r="D82" t="str">
        <f>IFERROR(VLOOKUP(Table5[[#This Row],[KODE BARANG]],Table1[[KODE BARANG]:[NAMA BARANG]],2,FALSE),"")</f>
        <v/>
      </c>
    </row>
    <row r="83" spans="1:4" x14ac:dyDescent="0.25">
      <c r="A83" s="1">
        <f t="shared" si="1"/>
        <v>80</v>
      </c>
      <c r="D83" t="str">
        <f>IFERROR(VLOOKUP(Table5[[#This Row],[KODE BARANG]],Table1[[KODE BARANG]:[NAMA BARANG]],2,FALSE),"")</f>
        <v/>
      </c>
    </row>
    <row r="84" spans="1:4" x14ac:dyDescent="0.25">
      <c r="A84" s="1">
        <f t="shared" si="1"/>
        <v>81</v>
      </c>
      <c r="D84" t="str">
        <f>IFERROR(VLOOKUP(Table5[[#This Row],[KODE BARANG]],Table1[[KODE BARANG]:[NAMA BARANG]],2,FALSE),"")</f>
        <v/>
      </c>
    </row>
    <row r="85" spans="1:4" x14ac:dyDescent="0.25">
      <c r="A85" s="1">
        <f t="shared" si="1"/>
        <v>82</v>
      </c>
      <c r="D85" t="str">
        <f>IFERROR(VLOOKUP(Table5[[#This Row],[KODE BARANG]],Table1[[KODE BARANG]:[NAMA BARANG]],2,FALSE),"")</f>
        <v/>
      </c>
    </row>
    <row r="86" spans="1:4" x14ac:dyDescent="0.25">
      <c r="A86" s="1">
        <f t="shared" si="1"/>
        <v>83</v>
      </c>
      <c r="D86" t="str">
        <f>IFERROR(VLOOKUP(Table5[[#This Row],[KODE BARANG]],Table1[[KODE BARANG]:[NAMA BARANG]],2,FALSE),"")</f>
        <v/>
      </c>
    </row>
    <row r="87" spans="1:4" x14ac:dyDescent="0.25">
      <c r="A87" s="1">
        <f t="shared" si="1"/>
        <v>84</v>
      </c>
      <c r="D87" t="str">
        <f>IFERROR(VLOOKUP(Table5[[#This Row],[KODE BARANG]],Table1[[KODE BARANG]:[NAMA BARANG]],2,FALSE),"")</f>
        <v/>
      </c>
    </row>
    <row r="88" spans="1:4" x14ac:dyDescent="0.25">
      <c r="A88" s="1">
        <f t="shared" si="1"/>
        <v>85</v>
      </c>
      <c r="D88" t="str">
        <f>IFERROR(VLOOKUP(Table5[[#This Row],[KODE BARANG]],Table1[[KODE BARANG]:[NAMA BARANG]],2,FALSE),"")</f>
        <v/>
      </c>
    </row>
    <row r="89" spans="1:4" x14ac:dyDescent="0.25">
      <c r="A89" s="1">
        <f t="shared" si="1"/>
        <v>86</v>
      </c>
      <c r="D89" t="str">
        <f>IFERROR(VLOOKUP(Table5[[#This Row],[KODE BARANG]],Table1[[KODE BARANG]:[NAMA BARANG]],2,FALSE),"")</f>
        <v/>
      </c>
    </row>
    <row r="90" spans="1:4" x14ac:dyDescent="0.25">
      <c r="A90" s="1">
        <f t="shared" si="1"/>
        <v>87</v>
      </c>
      <c r="D90" t="str">
        <f>IFERROR(VLOOKUP(Table5[[#This Row],[KODE BARANG]],Table1[[KODE BARANG]:[NAMA BARANG]],2,FALSE),"")</f>
        <v/>
      </c>
    </row>
    <row r="91" spans="1:4" x14ac:dyDescent="0.25">
      <c r="A91" s="1">
        <f t="shared" si="1"/>
        <v>88</v>
      </c>
      <c r="D91" t="str">
        <f>IFERROR(VLOOKUP(Table5[[#This Row],[KODE BARANG]],Table1[[KODE BARANG]:[NAMA BARANG]],2,FALSE),"")</f>
        <v/>
      </c>
    </row>
    <row r="92" spans="1:4" x14ac:dyDescent="0.25">
      <c r="A92" s="1">
        <f t="shared" si="1"/>
        <v>89</v>
      </c>
      <c r="D92" t="str">
        <f>IFERROR(VLOOKUP(Table5[[#This Row],[KODE BARANG]],Table1[[KODE BARANG]:[NAMA BARANG]],2,FALSE),"")</f>
        <v/>
      </c>
    </row>
    <row r="93" spans="1:4" x14ac:dyDescent="0.25">
      <c r="A93" s="1">
        <f t="shared" si="1"/>
        <v>90</v>
      </c>
      <c r="D93" t="str">
        <f>IFERROR(VLOOKUP(Table5[[#This Row],[KODE BARANG]],Table1[[KODE BARANG]:[NAMA BARANG]],2,FALSE),"")</f>
        <v/>
      </c>
    </row>
    <row r="94" spans="1:4" x14ac:dyDescent="0.25">
      <c r="A94" s="1">
        <f t="shared" si="1"/>
        <v>91</v>
      </c>
      <c r="D94" t="str">
        <f>IFERROR(VLOOKUP(Table5[[#This Row],[KODE BARANG]],Table1[[KODE BARANG]:[NAMA BARANG]],2,FALSE),"")</f>
        <v/>
      </c>
    </row>
    <row r="95" spans="1:4" x14ac:dyDescent="0.25">
      <c r="A95" s="1">
        <f t="shared" si="1"/>
        <v>92</v>
      </c>
      <c r="D95" t="str">
        <f>IFERROR(VLOOKUP(Table5[[#This Row],[KODE BARANG]],Table1[[KODE BARANG]:[NAMA BARANG]],2,FALSE),"")</f>
        <v/>
      </c>
    </row>
    <row r="96" spans="1:4" x14ac:dyDescent="0.25">
      <c r="A96" s="1">
        <f t="shared" si="1"/>
        <v>93</v>
      </c>
      <c r="D96" t="str">
        <f>IFERROR(VLOOKUP(Table5[[#This Row],[KODE BARANG]],Table1[[KODE BARANG]:[NAMA BARANG]],2,FALSE),"")</f>
        <v/>
      </c>
    </row>
    <row r="97" spans="1:4" x14ac:dyDescent="0.25">
      <c r="A97" s="1">
        <f t="shared" si="1"/>
        <v>94</v>
      </c>
      <c r="D97" t="str">
        <f>IFERROR(VLOOKUP(Table5[[#This Row],[KODE BARANG]],Table1[[KODE BARANG]:[NAMA BARANG]],2,FALSE),"")</f>
        <v/>
      </c>
    </row>
    <row r="98" spans="1:4" x14ac:dyDescent="0.25">
      <c r="A98" s="1">
        <f t="shared" si="1"/>
        <v>95</v>
      </c>
      <c r="D98" t="str">
        <f>IFERROR(VLOOKUP(Table5[[#This Row],[KODE BARANG]],Table1[[KODE BARANG]:[NAMA BARANG]],2,FALSE),"")</f>
        <v/>
      </c>
    </row>
    <row r="99" spans="1:4" x14ac:dyDescent="0.25">
      <c r="A99" s="1">
        <f t="shared" si="1"/>
        <v>96</v>
      </c>
      <c r="D99" t="str">
        <f>IFERROR(VLOOKUP(Table5[[#This Row],[KODE BARANG]],Table1[[KODE BARANG]:[NAMA BARANG]],2,FALSE),"")</f>
        <v/>
      </c>
    </row>
    <row r="100" spans="1:4" x14ac:dyDescent="0.25">
      <c r="A100" s="1">
        <f t="shared" si="1"/>
        <v>97</v>
      </c>
      <c r="D100" t="str">
        <f>IFERROR(VLOOKUP(Table5[[#This Row],[KODE BARANG]],Table1[[KODE BARANG]:[NAMA BARANG]],2,FALSE),"")</f>
        <v/>
      </c>
    </row>
    <row r="101" spans="1:4" x14ac:dyDescent="0.25">
      <c r="A101" s="1">
        <f t="shared" si="1"/>
        <v>98</v>
      </c>
      <c r="D101" t="str">
        <f>IFERROR(VLOOKUP(Table5[[#This Row],[KODE BARANG]],Table1[[KODE BARANG]:[NAMA BARANG]],2,FALSE),"")</f>
        <v/>
      </c>
    </row>
    <row r="102" spans="1:4" x14ac:dyDescent="0.25">
      <c r="A102" s="1">
        <f t="shared" si="1"/>
        <v>99</v>
      </c>
      <c r="D102" t="str">
        <f>IFERROR(VLOOKUP(Table5[[#This Row],[KODE BARANG]],Table1[[KODE BARANG]:[NAMA BARANG]],2,FALSE),"")</f>
        <v/>
      </c>
    </row>
    <row r="103" spans="1:4" x14ac:dyDescent="0.25">
      <c r="A103" s="1">
        <f t="shared" si="1"/>
        <v>100</v>
      </c>
      <c r="D103" t="str">
        <f>IFERROR(VLOOKUP(Table5[[#This Row],[KODE BARANG]],Table1[[KODE BARANG]:[NAMA BARANG]],2,FALSE),"")</f>
        <v/>
      </c>
    </row>
    <row r="104" spans="1:4" x14ac:dyDescent="0.25">
      <c r="A104" s="1">
        <f t="shared" si="1"/>
        <v>101</v>
      </c>
      <c r="D104" t="str">
        <f>IFERROR(VLOOKUP(Table5[[#This Row],[KODE BARANG]],Table1[[KODE BARANG]:[NAMA BARANG]],2,FALSE),"")</f>
        <v/>
      </c>
    </row>
    <row r="105" spans="1:4" x14ac:dyDescent="0.25">
      <c r="A105" s="1">
        <f t="shared" si="1"/>
        <v>102</v>
      </c>
      <c r="D105" t="str">
        <f>IFERROR(VLOOKUP(Table5[[#This Row],[KODE BARANG]],Table1[[KODE BARANG]:[NAMA BARANG]],2,FALSE),"")</f>
        <v/>
      </c>
    </row>
    <row r="106" spans="1:4" x14ac:dyDescent="0.25">
      <c r="A106" s="1">
        <f t="shared" si="1"/>
        <v>103</v>
      </c>
      <c r="D106" t="str">
        <f>IFERROR(VLOOKUP(Table5[[#This Row],[KODE BARANG]],Table1[[KODE BARANG]:[NAMA BARANG]],2,FALSE),"")</f>
        <v/>
      </c>
    </row>
    <row r="107" spans="1:4" x14ac:dyDescent="0.25">
      <c r="A107" s="1">
        <f t="shared" si="1"/>
        <v>104</v>
      </c>
      <c r="D107" t="str">
        <f>IFERROR(VLOOKUP(Table5[[#This Row],[KODE BARANG]],Table1[[KODE BARANG]:[NAMA BARANG]],2,FALSE),"")</f>
        <v/>
      </c>
    </row>
    <row r="108" spans="1:4" x14ac:dyDescent="0.25">
      <c r="A108" s="1">
        <f t="shared" si="1"/>
        <v>105</v>
      </c>
      <c r="D108" t="str">
        <f>IFERROR(VLOOKUP(Table5[[#This Row],[KODE BARANG]],Table1[[KODE BARANG]:[NAMA BARANG]],2,FALSE),"")</f>
        <v/>
      </c>
    </row>
    <row r="109" spans="1:4" x14ac:dyDescent="0.25">
      <c r="A109" s="1">
        <f t="shared" si="1"/>
        <v>106</v>
      </c>
      <c r="D109" t="str">
        <f>IFERROR(VLOOKUP(Table5[[#This Row],[KODE BARANG]],Table1[[KODE BARANG]:[NAMA BARANG]],2,FALSE),"")</f>
        <v/>
      </c>
    </row>
    <row r="110" spans="1:4" x14ac:dyDescent="0.25">
      <c r="A110" s="1">
        <f t="shared" si="1"/>
        <v>107</v>
      </c>
      <c r="D110" t="str">
        <f>IFERROR(VLOOKUP(Table5[[#This Row],[KODE BARANG]],Table1[[KODE BARANG]:[NAMA BARANG]],2,FALSE),"")</f>
        <v/>
      </c>
    </row>
    <row r="111" spans="1:4" x14ac:dyDescent="0.25">
      <c r="A111" s="1">
        <f t="shared" si="1"/>
        <v>108</v>
      </c>
      <c r="D111" t="str">
        <f>IFERROR(VLOOKUP(Table5[[#This Row],[KODE BARANG]],Table1[[KODE BARANG]:[NAMA BARANG]],2,FALSE),"")</f>
        <v/>
      </c>
    </row>
    <row r="112" spans="1:4" x14ac:dyDescent="0.25">
      <c r="A112" s="1">
        <f t="shared" si="1"/>
        <v>109</v>
      </c>
      <c r="D112" t="str">
        <f>IFERROR(VLOOKUP(Table5[[#This Row],[KODE BARANG]],Table1[[KODE BARANG]:[NAMA BARANG]],2,FALSE),"")</f>
        <v/>
      </c>
    </row>
    <row r="113" spans="1:4" x14ac:dyDescent="0.25">
      <c r="A113" s="1">
        <f t="shared" si="1"/>
        <v>110</v>
      </c>
      <c r="D113" t="str">
        <f>IFERROR(VLOOKUP(Table5[[#This Row],[KODE BARANG]],Table1[[KODE BARANG]:[NAMA BARANG]],2,FALSE),"")</f>
        <v/>
      </c>
    </row>
    <row r="114" spans="1:4" x14ac:dyDescent="0.25">
      <c r="A114" s="1">
        <f t="shared" si="1"/>
        <v>111</v>
      </c>
      <c r="D114" t="str">
        <f>IFERROR(VLOOKUP(Table5[[#This Row],[KODE BARANG]],Table1[[KODE BARANG]:[NAMA BARANG]],2,FALSE),"")</f>
        <v/>
      </c>
    </row>
    <row r="115" spans="1:4" x14ac:dyDescent="0.25">
      <c r="A115" s="1">
        <f t="shared" si="1"/>
        <v>112</v>
      </c>
      <c r="D115" t="str">
        <f>IFERROR(VLOOKUP(Table5[[#This Row],[KODE BARANG]],Table1[[KODE BARANG]:[NAMA BARANG]],2,FALSE),"")</f>
        <v/>
      </c>
    </row>
    <row r="116" spans="1:4" x14ac:dyDescent="0.25">
      <c r="A116" s="1">
        <f t="shared" si="1"/>
        <v>113</v>
      </c>
      <c r="D116" t="str">
        <f>IFERROR(VLOOKUP(Table5[[#This Row],[KODE BARANG]],Table1[[KODE BARANG]:[NAMA BARANG]],2,FALSE),"")</f>
        <v/>
      </c>
    </row>
    <row r="117" spans="1:4" x14ac:dyDescent="0.25">
      <c r="A117" s="1">
        <f t="shared" si="1"/>
        <v>114</v>
      </c>
      <c r="D117" t="str">
        <f>IFERROR(VLOOKUP(Table5[[#This Row],[KODE BARANG]],Table1[[KODE BARANG]:[NAMA BARANG]],2,FALSE),"")</f>
        <v/>
      </c>
    </row>
    <row r="118" spans="1:4" x14ac:dyDescent="0.25">
      <c r="A118" s="1">
        <f t="shared" si="1"/>
        <v>115</v>
      </c>
      <c r="D118" t="str">
        <f>IFERROR(VLOOKUP(Table5[[#This Row],[KODE BARANG]],Table1[[KODE BARANG]:[NAMA BARANG]],2,FALSE),"")</f>
        <v/>
      </c>
    </row>
    <row r="119" spans="1:4" x14ac:dyDescent="0.25">
      <c r="A119" s="1">
        <f t="shared" si="1"/>
        <v>116</v>
      </c>
      <c r="D119" t="str">
        <f>IFERROR(VLOOKUP(Table5[[#This Row],[KODE BARANG]],Table1[[KODE BARANG]:[NAMA BARANG]],2,FALSE),"")</f>
        <v/>
      </c>
    </row>
    <row r="120" spans="1:4" x14ac:dyDescent="0.25">
      <c r="A120" s="1">
        <f t="shared" si="1"/>
        <v>117</v>
      </c>
      <c r="D120" t="str">
        <f>IFERROR(VLOOKUP(Table5[[#This Row],[KODE BARANG]],Table1[[KODE BARANG]:[NAMA BARANG]],2,FALSE),"")</f>
        <v/>
      </c>
    </row>
    <row r="121" spans="1:4" x14ac:dyDescent="0.25">
      <c r="A121" s="1">
        <f t="shared" si="1"/>
        <v>118</v>
      </c>
      <c r="D121" t="str">
        <f>IFERROR(VLOOKUP(Table5[[#This Row],[KODE BARANG]],Table1[[KODE BARANG]:[NAMA BARANG]],2,FALSE),"")</f>
        <v/>
      </c>
    </row>
    <row r="122" spans="1:4" x14ac:dyDescent="0.25">
      <c r="A122" s="1">
        <f t="shared" si="1"/>
        <v>119</v>
      </c>
      <c r="D122" t="str">
        <f>IFERROR(VLOOKUP(Table5[[#This Row],[KODE BARANG]],Table1[[KODE BARANG]:[NAMA BARANG]],2,FALSE),"")</f>
        <v/>
      </c>
    </row>
    <row r="123" spans="1:4" x14ac:dyDescent="0.25">
      <c r="A123" s="1">
        <f t="shared" si="1"/>
        <v>120</v>
      </c>
      <c r="D123" t="str">
        <f>IFERROR(VLOOKUP(Table5[[#This Row],[KODE BARANG]],Table1[[KODE BARANG]:[NAMA BARANG]],2,FALSE),"")</f>
        <v/>
      </c>
    </row>
    <row r="124" spans="1:4" x14ac:dyDescent="0.25">
      <c r="A124" s="1">
        <f t="shared" si="1"/>
        <v>121</v>
      </c>
      <c r="D124" t="str">
        <f>IFERROR(VLOOKUP(Table5[[#This Row],[KODE BARANG]],Table1[[KODE BARANG]:[NAMA BARANG]],2,FALSE),"")</f>
        <v/>
      </c>
    </row>
    <row r="125" spans="1:4" x14ac:dyDescent="0.25">
      <c r="A125" s="1">
        <f t="shared" si="1"/>
        <v>122</v>
      </c>
      <c r="D125" t="str">
        <f>IFERROR(VLOOKUP(Table5[[#This Row],[KODE BARANG]],Table1[[KODE BARANG]:[NAMA BARANG]],2,FALSE),"")</f>
        <v/>
      </c>
    </row>
    <row r="126" spans="1:4" x14ac:dyDescent="0.25">
      <c r="A126" s="1">
        <f t="shared" si="1"/>
        <v>123</v>
      </c>
      <c r="D126" t="str">
        <f>IFERROR(VLOOKUP(Table5[[#This Row],[KODE BARANG]],Table1[[KODE BARANG]:[NAMA BARANG]],2,FALSE),"")</f>
        <v/>
      </c>
    </row>
    <row r="127" spans="1:4" x14ac:dyDescent="0.25">
      <c r="A127" s="1">
        <f t="shared" si="1"/>
        <v>124</v>
      </c>
      <c r="D127" t="str">
        <f>IFERROR(VLOOKUP(Table5[[#This Row],[KODE BARANG]],Table1[[KODE BARANG]:[NAMA BARANG]],2,FALSE),"")</f>
        <v/>
      </c>
    </row>
    <row r="128" spans="1:4" x14ac:dyDescent="0.25">
      <c r="A128" s="1">
        <f t="shared" si="1"/>
        <v>125</v>
      </c>
      <c r="D128" t="str">
        <f>IFERROR(VLOOKUP(Table5[[#This Row],[KODE BARANG]],Table1[[KODE BARANG]:[NAMA BARANG]],2,FALSE),"")</f>
        <v/>
      </c>
    </row>
    <row r="129" spans="1:4" x14ac:dyDescent="0.25">
      <c r="A129" s="1">
        <f t="shared" si="1"/>
        <v>126</v>
      </c>
      <c r="D129" t="str">
        <f>IFERROR(VLOOKUP(Table5[[#This Row],[KODE BARANG]],Table1[[KODE BARANG]:[NAMA BARANG]],2,FALSE),"")</f>
        <v/>
      </c>
    </row>
    <row r="130" spans="1:4" x14ac:dyDescent="0.25">
      <c r="A130" s="1">
        <f t="shared" si="1"/>
        <v>127</v>
      </c>
      <c r="D130" t="str">
        <f>IFERROR(VLOOKUP(Table5[[#This Row],[KODE BARANG]],Table1[[KODE BARANG]:[NAMA BARANG]],2,FALSE),"")</f>
        <v/>
      </c>
    </row>
    <row r="131" spans="1:4" x14ac:dyDescent="0.25">
      <c r="A131" s="1">
        <f t="shared" si="1"/>
        <v>128</v>
      </c>
      <c r="D131" t="str">
        <f>IFERROR(VLOOKUP(Table5[[#This Row],[KODE BARANG]],Table1[[KODE BARANG]:[NAMA BARANG]],2,FALSE),"")</f>
        <v/>
      </c>
    </row>
    <row r="132" spans="1:4" x14ac:dyDescent="0.25">
      <c r="A132" s="1">
        <f t="shared" ref="A132:A195" si="2">ROW()-3</f>
        <v>129</v>
      </c>
      <c r="D132" t="str">
        <f>IFERROR(VLOOKUP(Table5[[#This Row],[KODE BARANG]],Table1[[KODE BARANG]:[NAMA BARANG]],2,FALSE),"")</f>
        <v/>
      </c>
    </row>
    <row r="133" spans="1:4" x14ac:dyDescent="0.25">
      <c r="A133" s="1">
        <f t="shared" si="2"/>
        <v>130</v>
      </c>
      <c r="D133" t="str">
        <f>IFERROR(VLOOKUP(Table5[[#This Row],[KODE BARANG]],Table1[[KODE BARANG]:[NAMA BARANG]],2,FALSE),"")</f>
        <v/>
      </c>
    </row>
    <row r="134" spans="1:4" x14ac:dyDescent="0.25">
      <c r="A134" s="1">
        <f t="shared" si="2"/>
        <v>131</v>
      </c>
      <c r="D134" t="str">
        <f>IFERROR(VLOOKUP(Table5[[#This Row],[KODE BARANG]],Table1[[KODE BARANG]:[NAMA BARANG]],2,FALSE),"")</f>
        <v/>
      </c>
    </row>
    <row r="135" spans="1:4" x14ac:dyDescent="0.25">
      <c r="A135" s="1">
        <f t="shared" si="2"/>
        <v>132</v>
      </c>
      <c r="D135" t="str">
        <f>IFERROR(VLOOKUP(Table5[[#This Row],[KODE BARANG]],Table1[[KODE BARANG]:[NAMA BARANG]],2,FALSE),"")</f>
        <v/>
      </c>
    </row>
    <row r="136" spans="1:4" x14ac:dyDescent="0.25">
      <c r="A136" s="1">
        <f t="shared" si="2"/>
        <v>133</v>
      </c>
      <c r="D136" t="str">
        <f>IFERROR(VLOOKUP(Table5[[#This Row],[KODE BARANG]],Table1[[KODE BARANG]:[NAMA BARANG]],2,FALSE),"")</f>
        <v/>
      </c>
    </row>
    <row r="137" spans="1:4" x14ac:dyDescent="0.25">
      <c r="A137" s="1">
        <f t="shared" si="2"/>
        <v>134</v>
      </c>
      <c r="D137" t="str">
        <f>IFERROR(VLOOKUP(Table5[[#This Row],[KODE BARANG]],Table1[[KODE BARANG]:[NAMA BARANG]],2,FALSE),"")</f>
        <v/>
      </c>
    </row>
    <row r="138" spans="1:4" x14ac:dyDescent="0.25">
      <c r="A138" s="1">
        <f t="shared" si="2"/>
        <v>135</v>
      </c>
      <c r="D138" t="str">
        <f>IFERROR(VLOOKUP(Table5[[#This Row],[KODE BARANG]],Table1[[KODE BARANG]:[NAMA BARANG]],2,FALSE),"")</f>
        <v/>
      </c>
    </row>
    <row r="139" spans="1:4" x14ac:dyDescent="0.25">
      <c r="A139" s="1">
        <f t="shared" si="2"/>
        <v>136</v>
      </c>
      <c r="D139" t="str">
        <f>IFERROR(VLOOKUP(Table5[[#This Row],[KODE BARANG]],Table1[[KODE BARANG]:[NAMA BARANG]],2,FALSE),"")</f>
        <v/>
      </c>
    </row>
    <row r="140" spans="1:4" x14ac:dyDescent="0.25">
      <c r="A140" s="1">
        <f t="shared" si="2"/>
        <v>137</v>
      </c>
      <c r="D140" t="str">
        <f>IFERROR(VLOOKUP(Table5[[#This Row],[KODE BARANG]],Table1[[KODE BARANG]:[NAMA BARANG]],2,FALSE),"")</f>
        <v/>
      </c>
    </row>
    <row r="141" spans="1:4" x14ac:dyDescent="0.25">
      <c r="A141" s="1">
        <f t="shared" si="2"/>
        <v>138</v>
      </c>
      <c r="D141" t="str">
        <f>IFERROR(VLOOKUP(Table5[[#This Row],[KODE BARANG]],Table1[[KODE BARANG]:[NAMA BARANG]],2,FALSE),"")</f>
        <v/>
      </c>
    </row>
    <row r="142" spans="1:4" x14ac:dyDescent="0.25">
      <c r="A142" s="1">
        <f t="shared" si="2"/>
        <v>139</v>
      </c>
      <c r="D142" t="str">
        <f>IFERROR(VLOOKUP(Table5[[#This Row],[KODE BARANG]],Table1[[KODE BARANG]:[NAMA BARANG]],2,FALSE),"")</f>
        <v/>
      </c>
    </row>
    <row r="143" spans="1:4" x14ac:dyDescent="0.25">
      <c r="A143" s="1">
        <f t="shared" si="2"/>
        <v>140</v>
      </c>
      <c r="D143" t="str">
        <f>IFERROR(VLOOKUP(Table5[[#This Row],[KODE BARANG]],Table1[[KODE BARANG]:[NAMA BARANG]],2,FALSE),"")</f>
        <v/>
      </c>
    </row>
    <row r="144" spans="1:4" x14ac:dyDescent="0.25">
      <c r="A144" s="1">
        <f t="shared" si="2"/>
        <v>141</v>
      </c>
      <c r="D144" t="str">
        <f>IFERROR(VLOOKUP(Table5[[#This Row],[KODE BARANG]],Table1[[KODE BARANG]:[NAMA BARANG]],2,FALSE),"")</f>
        <v/>
      </c>
    </row>
    <row r="145" spans="1:4" x14ac:dyDescent="0.25">
      <c r="A145" s="1">
        <f t="shared" si="2"/>
        <v>142</v>
      </c>
      <c r="D145" t="str">
        <f>IFERROR(VLOOKUP(Table5[[#This Row],[KODE BARANG]],Table1[[KODE BARANG]:[NAMA BARANG]],2,FALSE),"")</f>
        <v/>
      </c>
    </row>
    <row r="146" spans="1:4" x14ac:dyDescent="0.25">
      <c r="A146" s="1">
        <f t="shared" si="2"/>
        <v>143</v>
      </c>
      <c r="D146" t="str">
        <f>IFERROR(VLOOKUP(Table5[[#This Row],[KODE BARANG]],Table1[[KODE BARANG]:[NAMA BARANG]],2,FALSE),"")</f>
        <v/>
      </c>
    </row>
    <row r="147" spans="1:4" x14ac:dyDescent="0.25">
      <c r="A147" s="1">
        <f t="shared" si="2"/>
        <v>144</v>
      </c>
      <c r="D147" t="str">
        <f>IFERROR(VLOOKUP(Table5[[#This Row],[KODE BARANG]],Table1[[KODE BARANG]:[NAMA BARANG]],2,FALSE),"")</f>
        <v/>
      </c>
    </row>
    <row r="148" spans="1:4" x14ac:dyDescent="0.25">
      <c r="A148" s="1">
        <f t="shared" si="2"/>
        <v>145</v>
      </c>
      <c r="D148" t="str">
        <f>IFERROR(VLOOKUP(Table5[[#This Row],[KODE BARANG]],Table1[[KODE BARANG]:[NAMA BARANG]],2,FALSE),"")</f>
        <v/>
      </c>
    </row>
    <row r="149" spans="1:4" x14ac:dyDescent="0.25">
      <c r="A149" s="1">
        <f t="shared" si="2"/>
        <v>146</v>
      </c>
      <c r="D149" t="str">
        <f>IFERROR(VLOOKUP(Table5[[#This Row],[KODE BARANG]],Table1[[KODE BARANG]:[NAMA BARANG]],2,FALSE),"")</f>
        <v/>
      </c>
    </row>
    <row r="150" spans="1:4" x14ac:dyDescent="0.25">
      <c r="A150" s="1">
        <f t="shared" si="2"/>
        <v>147</v>
      </c>
      <c r="D150" t="str">
        <f>IFERROR(VLOOKUP(Table5[[#This Row],[KODE BARANG]],Table1[[KODE BARANG]:[NAMA BARANG]],2,FALSE),"")</f>
        <v/>
      </c>
    </row>
    <row r="151" spans="1:4" x14ac:dyDescent="0.25">
      <c r="A151" s="1">
        <f t="shared" si="2"/>
        <v>148</v>
      </c>
      <c r="D151" t="str">
        <f>IFERROR(VLOOKUP(Table5[[#This Row],[KODE BARANG]],Table1[[KODE BARANG]:[NAMA BARANG]],2,FALSE),"")</f>
        <v/>
      </c>
    </row>
    <row r="152" spans="1:4" x14ac:dyDescent="0.25">
      <c r="A152" s="1">
        <f t="shared" si="2"/>
        <v>149</v>
      </c>
      <c r="D152" t="str">
        <f>IFERROR(VLOOKUP(Table5[[#This Row],[KODE BARANG]],Table1[[KODE BARANG]:[NAMA BARANG]],2,FALSE),"")</f>
        <v/>
      </c>
    </row>
    <row r="153" spans="1:4" x14ac:dyDescent="0.25">
      <c r="A153" s="1">
        <f t="shared" si="2"/>
        <v>150</v>
      </c>
      <c r="D153" t="str">
        <f>IFERROR(VLOOKUP(Table5[[#This Row],[KODE BARANG]],Table1[[KODE BARANG]:[NAMA BARANG]],2,FALSE),"")</f>
        <v/>
      </c>
    </row>
    <row r="154" spans="1:4" x14ac:dyDescent="0.25">
      <c r="A154" s="1">
        <f t="shared" si="2"/>
        <v>151</v>
      </c>
      <c r="D154" t="str">
        <f>IFERROR(VLOOKUP(Table5[[#This Row],[KODE BARANG]],Table1[[KODE BARANG]:[NAMA BARANG]],2,FALSE),"")</f>
        <v/>
      </c>
    </row>
    <row r="155" spans="1:4" x14ac:dyDescent="0.25">
      <c r="A155" s="1">
        <f t="shared" si="2"/>
        <v>152</v>
      </c>
      <c r="D155" t="str">
        <f>IFERROR(VLOOKUP(Table5[[#This Row],[KODE BARANG]],Table1[[KODE BARANG]:[NAMA BARANG]],2,FALSE),"")</f>
        <v/>
      </c>
    </row>
    <row r="156" spans="1:4" x14ac:dyDescent="0.25">
      <c r="A156" s="1">
        <f t="shared" si="2"/>
        <v>153</v>
      </c>
      <c r="D156" t="str">
        <f>IFERROR(VLOOKUP(Table5[[#This Row],[KODE BARANG]],Table1[[KODE BARANG]:[NAMA BARANG]],2,FALSE),"")</f>
        <v/>
      </c>
    </row>
    <row r="157" spans="1:4" x14ac:dyDescent="0.25">
      <c r="A157" s="1">
        <f t="shared" si="2"/>
        <v>154</v>
      </c>
      <c r="D157" t="str">
        <f>IFERROR(VLOOKUP(Table5[[#This Row],[KODE BARANG]],Table1[[KODE BARANG]:[NAMA BARANG]],2,FALSE),"")</f>
        <v/>
      </c>
    </row>
    <row r="158" spans="1:4" x14ac:dyDescent="0.25">
      <c r="A158" s="1">
        <f t="shared" si="2"/>
        <v>155</v>
      </c>
      <c r="D158" t="str">
        <f>IFERROR(VLOOKUP(Table5[[#This Row],[KODE BARANG]],Table1[[KODE BARANG]:[NAMA BARANG]],2,FALSE),"")</f>
        <v/>
      </c>
    </row>
    <row r="159" spans="1:4" x14ac:dyDescent="0.25">
      <c r="A159" s="1">
        <f t="shared" si="2"/>
        <v>156</v>
      </c>
      <c r="D159" t="str">
        <f>IFERROR(VLOOKUP(Table5[[#This Row],[KODE BARANG]],Table1[[KODE BARANG]:[NAMA BARANG]],2,FALSE),"")</f>
        <v/>
      </c>
    </row>
    <row r="160" spans="1:4" x14ac:dyDescent="0.25">
      <c r="A160" s="1">
        <f t="shared" si="2"/>
        <v>157</v>
      </c>
      <c r="D160" t="str">
        <f>IFERROR(VLOOKUP(Table5[[#This Row],[KODE BARANG]],Table1[[KODE BARANG]:[NAMA BARANG]],2,FALSE),"")</f>
        <v/>
      </c>
    </row>
    <row r="161" spans="1:4" x14ac:dyDescent="0.25">
      <c r="A161" s="1">
        <f t="shared" si="2"/>
        <v>158</v>
      </c>
      <c r="D161" t="str">
        <f>IFERROR(VLOOKUP(Table5[[#This Row],[KODE BARANG]],Table1[[KODE BARANG]:[NAMA BARANG]],2,FALSE),"")</f>
        <v/>
      </c>
    </row>
    <row r="162" spans="1:4" x14ac:dyDescent="0.25">
      <c r="A162" s="1">
        <f t="shared" si="2"/>
        <v>159</v>
      </c>
      <c r="D162" t="str">
        <f>IFERROR(VLOOKUP(Table5[[#This Row],[KODE BARANG]],Table1[[KODE BARANG]:[NAMA BARANG]],2,FALSE),"")</f>
        <v/>
      </c>
    </row>
    <row r="163" spans="1:4" x14ac:dyDescent="0.25">
      <c r="A163" s="1">
        <f t="shared" si="2"/>
        <v>160</v>
      </c>
      <c r="D163" t="str">
        <f>IFERROR(VLOOKUP(Table5[[#This Row],[KODE BARANG]],Table1[[KODE BARANG]:[NAMA BARANG]],2,FALSE),"")</f>
        <v/>
      </c>
    </row>
    <row r="164" spans="1:4" x14ac:dyDescent="0.25">
      <c r="A164" s="1">
        <f t="shared" si="2"/>
        <v>161</v>
      </c>
      <c r="D164" t="str">
        <f>IFERROR(VLOOKUP(Table5[[#This Row],[KODE BARANG]],Table1[[KODE BARANG]:[NAMA BARANG]],2,FALSE),"")</f>
        <v/>
      </c>
    </row>
    <row r="165" spans="1:4" x14ac:dyDescent="0.25">
      <c r="A165" s="1">
        <f t="shared" si="2"/>
        <v>162</v>
      </c>
      <c r="D165" t="str">
        <f>IFERROR(VLOOKUP(Table5[[#This Row],[KODE BARANG]],Table1[[KODE BARANG]:[NAMA BARANG]],2,FALSE),"")</f>
        <v/>
      </c>
    </row>
    <row r="166" spans="1:4" x14ac:dyDescent="0.25">
      <c r="A166" s="1">
        <f t="shared" si="2"/>
        <v>163</v>
      </c>
      <c r="D166" t="str">
        <f>IFERROR(VLOOKUP(Table5[[#This Row],[KODE BARANG]],Table1[[KODE BARANG]:[NAMA BARANG]],2,FALSE),"")</f>
        <v/>
      </c>
    </row>
    <row r="167" spans="1:4" x14ac:dyDescent="0.25">
      <c r="A167" s="1">
        <f t="shared" si="2"/>
        <v>164</v>
      </c>
      <c r="D167" t="str">
        <f>IFERROR(VLOOKUP(Table5[[#This Row],[KODE BARANG]],Table1[[KODE BARANG]:[NAMA BARANG]],2,FALSE),"")</f>
        <v/>
      </c>
    </row>
    <row r="168" spans="1:4" x14ac:dyDescent="0.25">
      <c r="A168" s="1">
        <f t="shared" si="2"/>
        <v>165</v>
      </c>
      <c r="D168" t="str">
        <f>IFERROR(VLOOKUP(Table5[[#This Row],[KODE BARANG]],Table1[[KODE BARANG]:[NAMA BARANG]],2,FALSE),"")</f>
        <v/>
      </c>
    </row>
    <row r="169" spans="1:4" x14ac:dyDescent="0.25">
      <c r="A169" s="1">
        <f t="shared" si="2"/>
        <v>166</v>
      </c>
      <c r="D169" t="str">
        <f>IFERROR(VLOOKUP(Table5[[#This Row],[KODE BARANG]],Table1[[KODE BARANG]:[NAMA BARANG]],2,FALSE),"")</f>
        <v/>
      </c>
    </row>
    <row r="170" spans="1:4" x14ac:dyDescent="0.25">
      <c r="A170" s="1">
        <f t="shared" si="2"/>
        <v>167</v>
      </c>
      <c r="D170" t="str">
        <f>IFERROR(VLOOKUP(Table5[[#This Row],[KODE BARANG]],Table1[[KODE BARANG]:[NAMA BARANG]],2,FALSE),"")</f>
        <v/>
      </c>
    </row>
    <row r="171" spans="1:4" x14ac:dyDescent="0.25">
      <c r="A171" s="1">
        <f t="shared" si="2"/>
        <v>168</v>
      </c>
      <c r="D171" t="str">
        <f>IFERROR(VLOOKUP(Table5[[#This Row],[KODE BARANG]],Table1[[KODE BARANG]:[NAMA BARANG]],2,FALSE),"")</f>
        <v/>
      </c>
    </row>
    <row r="172" spans="1:4" x14ac:dyDescent="0.25">
      <c r="A172" s="1">
        <f t="shared" si="2"/>
        <v>169</v>
      </c>
      <c r="D172" t="str">
        <f>IFERROR(VLOOKUP(Table5[[#This Row],[KODE BARANG]],Table1[[KODE BARANG]:[NAMA BARANG]],2,FALSE),"")</f>
        <v/>
      </c>
    </row>
    <row r="173" spans="1:4" x14ac:dyDescent="0.25">
      <c r="A173" s="1">
        <f t="shared" si="2"/>
        <v>170</v>
      </c>
      <c r="D173" t="str">
        <f>IFERROR(VLOOKUP(Table5[[#This Row],[KODE BARANG]],Table1[[KODE BARANG]:[NAMA BARANG]],2,FALSE),"")</f>
        <v/>
      </c>
    </row>
    <row r="174" spans="1:4" x14ac:dyDescent="0.25">
      <c r="A174" s="1">
        <f t="shared" si="2"/>
        <v>171</v>
      </c>
      <c r="D174" t="str">
        <f>IFERROR(VLOOKUP(Table5[[#This Row],[KODE BARANG]],Table1[[KODE BARANG]:[NAMA BARANG]],2,FALSE),"")</f>
        <v/>
      </c>
    </row>
    <row r="175" spans="1:4" x14ac:dyDescent="0.25">
      <c r="A175" s="1">
        <f t="shared" si="2"/>
        <v>172</v>
      </c>
      <c r="D175" t="str">
        <f>IFERROR(VLOOKUP(Table5[[#This Row],[KODE BARANG]],Table1[[KODE BARANG]:[NAMA BARANG]],2,FALSE),"")</f>
        <v/>
      </c>
    </row>
    <row r="176" spans="1:4" x14ac:dyDescent="0.25">
      <c r="A176" s="1">
        <f t="shared" si="2"/>
        <v>173</v>
      </c>
      <c r="D176" t="str">
        <f>IFERROR(VLOOKUP(Table5[[#This Row],[KODE BARANG]],Table1[[KODE BARANG]:[NAMA BARANG]],2,FALSE),"")</f>
        <v/>
      </c>
    </row>
    <row r="177" spans="1:4" x14ac:dyDescent="0.25">
      <c r="A177" s="1">
        <f t="shared" si="2"/>
        <v>174</v>
      </c>
      <c r="D177" t="str">
        <f>IFERROR(VLOOKUP(Table5[[#This Row],[KODE BARANG]],Table1[[KODE BARANG]:[NAMA BARANG]],2,FALSE),"")</f>
        <v/>
      </c>
    </row>
    <row r="178" spans="1:4" x14ac:dyDescent="0.25">
      <c r="A178" s="1">
        <f t="shared" si="2"/>
        <v>175</v>
      </c>
      <c r="D178" t="str">
        <f>IFERROR(VLOOKUP(Table5[[#This Row],[KODE BARANG]],Table1[[KODE BARANG]:[NAMA BARANG]],2,FALSE),"")</f>
        <v/>
      </c>
    </row>
    <row r="179" spans="1:4" x14ac:dyDescent="0.25">
      <c r="A179" s="1">
        <f t="shared" si="2"/>
        <v>176</v>
      </c>
      <c r="D179" t="str">
        <f>IFERROR(VLOOKUP(Table5[[#This Row],[KODE BARANG]],Table1[[KODE BARANG]:[NAMA BARANG]],2,FALSE),"")</f>
        <v/>
      </c>
    </row>
    <row r="180" spans="1:4" x14ac:dyDescent="0.25">
      <c r="A180" s="1">
        <f t="shared" si="2"/>
        <v>177</v>
      </c>
      <c r="D180" t="str">
        <f>IFERROR(VLOOKUP(Table5[[#This Row],[KODE BARANG]],Table1[[KODE BARANG]:[NAMA BARANG]],2,FALSE),"")</f>
        <v/>
      </c>
    </row>
    <row r="181" spans="1:4" x14ac:dyDescent="0.25">
      <c r="A181" s="1">
        <f t="shared" si="2"/>
        <v>178</v>
      </c>
      <c r="D181" t="str">
        <f>IFERROR(VLOOKUP(Table5[[#This Row],[KODE BARANG]],Table1[[KODE BARANG]:[NAMA BARANG]],2,FALSE),"")</f>
        <v/>
      </c>
    </row>
    <row r="182" spans="1:4" x14ac:dyDescent="0.25">
      <c r="A182" s="1">
        <f t="shared" si="2"/>
        <v>179</v>
      </c>
      <c r="D182" t="str">
        <f>IFERROR(VLOOKUP(Table5[[#This Row],[KODE BARANG]],Table1[[KODE BARANG]:[NAMA BARANG]],2,FALSE),"")</f>
        <v/>
      </c>
    </row>
    <row r="183" spans="1:4" x14ac:dyDescent="0.25">
      <c r="A183" s="1">
        <f t="shared" si="2"/>
        <v>180</v>
      </c>
      <c r="D183" t="str">
        <f>IFERROR(VLOOKUP(Table5[[#This Row],[KODE BARANG]],Table1[[KODE BARANG]:[NAMA BARANG]],2,FALSE),"")</f>
        <v/>
      </c>
    </row>
    <row r="184" spans="1:4" x14ac:dyDescent="0.25">
      <c r="A184" s="1">
        <f t="shared" si="2"/>
        <v>181</v>
      </c>
      <c r="D184" t="str">
        <f>IFERROR(VLOOKUP(Table5[[#This Row],[KODE BARANG]],Table1[[KODE BARANG]:[NAMA BARANG]],2,FALSE),"")</f>
        <v/>
      </c>
    </row>
    <row r="185" spans="1:4" x14ac:dyDescent="0.25">
      <c r="A185" s="1">
        <f t="shared" si="2"/>
        <v>182</v>
      </c>
      <c r="D185" t="str">
        <f>IFERROR(VLOOKUP(Table5[[#This Row],[KODE BARANG]],Table1[[KODE BARANG]:[NAMA BARANG]],2,FALSE),"")</f>
        <v/>
      </c>
    </row>
    <row r="186" spans="1:4" x14ac:dyDescent="0.25">
      <c r="A186" s="1">
        <f t="shared" si="2"/>
        <v>183</v>
      </c>
      <c r="D186" t="str">
        <f>IFERROR(VLOOKUP(Table5[[#This Row],[KODE BARANG]],Table1[[KODE BARANG]:[NAMA BARANG]],2,FALSE),"")</f>
        <v/>
      </c>
    </row>
    <row r="187" spans="1:4" x14ac:dyDescent="0.25">
      <c r="A187" s="1">
        <f t="shared" si="2"/>
        <v>184</v>
      </c>
      <c r="D187" t="str">
        <f>IFERROR(VLOOKUP(Table5[[#This Row],[KODE BARANG]],Table1[[KODE BARANG]:[NAMA BARANG]],2,FALSE),"")</f>
        <v/>
      </c>
    </row>
    <row r="188" spans="1:4" x14ac:dyDescent="0.25">
      <c r="A188" s="1">
        <f t="shared" si="2"/>
        <v>185</v>
      </c>
      <c r="D188" t="str">
        <f>IFERROR(VLOOKUP(Table5[[#This Row],[KODE BARANG]],Table1[[KODE BARANG]:[NAMA BARANG]],2,FALSE),"")</f>
        <v/>
      </c>
    </row>
    <row r="189" spans="1:4" x14ac:dyDescent="0.25">
      <c r="A189" s="1">
        <f t="shared" si="2"/>
        <v>186</v>
      </c>
      <c r="D189" t="str">
        <f>IFERROR(VLOOKUP(Table5[[#This Row],[KODE BARANG]],Table1[[KODE BARANG]:[NAMA BARANG]],2,FALSE),"")</f>
        <v/>
      </c>
    </row>
    <row r="190" spans="1:4" x14ac:dyDescent="0.25">
      <c r="A190" s="1">
        <f t="shared" si="2"/>
        <v>187</v>
      </c>
      <c r="D190" t="str">
        <f>IFERROR(VLOOKUP(Table5[[#This Row],[KODE BARANG]],Table1[[KODE BARANG]:[NAMA BARANG]],2,FALSE),"")</f>
        <v/>
      </c>
    </row>
    <row r="191" spans="1:4" x14ac:dyDescent="0.25">
      <c r="A191" s="1">
        <f t="shared" si="2"/>
        <v>188</v>
      </c>
      <c r="D191" t="str">
        <f>IFERROR(VLOOKUP(Table5[[#This Row],[KODE BARANG]],Table1[[KODE BARANG]:[NAMA BARANG]],2,FALSE),"")</f>
        <v/>
      </c>
    </row>
    <row r="192" spans="1:4" x14ac:dyDescent="0.25">
      <c r="A192" s="1">
        <f t="shared" si="2"/>
        <v>189</v>
      </c>
      <c r="D192" t="str">
        <f>IFERROR(VLOOKUP(Table5[[#This Row],[KODE BARANG]],Table1[[KODE BARANG]:[NAMA BARANG]],2,FALSE),"")</f>
        <v/>
      </c>
    </row>
    <row r="193" spans="1:4" x14ac:dyDescent="0.25">
      <c r="A193" s="1">
        <f t="shared" si="2"/>
        <v>190</v>
      </c>
      <c r="D193" t="str">
        <f>IFERROR(VLOOKUP(Table5[[#This Row],[KODE BARANG]],Table1[[KODE BARANG]:[NAMA BARANG]],2,FALSE),"")</f>
        <v/>
      </c>
    </row>
    <row r="194" spans="1:4" x14ac:dyDescent="0.25">
      <c r="A194" s="1">
        <f t="shared" si="2"/>
        <v>191</v>
      </c>
      <c r="D194" t="str">
        <f>IFERROR(VLOOKUP(Table5[[#This Row],[KODE BARANG]],Table1[[KODE BARANG]:[NAMA BARANG]],2,FALSE),"")</f>
        <v/>
      </c>
    </row>
    <row r="195" spans="1:4" x14ac:dyDescent="0.25">
      <c r="A195" s="1">
        <f t="shared" si="2"/>
        <v>192</v>
      </c>
      <c r="D195" t="str">
        <f>IFERROR(VLOOKUP(Table5[[#This Row],[KODE BARANG]],Table1[[KODE BARANG]:[NAMA BARANG]],2,FALSE),"")</f>
        <v/>
      </c>
    </row>
    <row r="196" spans="1:4" x14ac:dyDescent="0.25">
      <c r="A196" s="1">
        <f t="shared" ref="A196:A249" si="3">ROW()-3</f>
        <v>193</v>
      </c>
      <c r="D196" t="str">
        <f>IFERROR(VLOOKUP(Table5[[#This Row],[KODE BARANG]],Table1[[KODE BARANG]:[NAMA BARANG]],2,FALSE),"")</f>
        <v/>
      </c>
    </row>
    <row r="197" spans="1:4" x14ac:dyDescent="0.25">
      <c r="A197" s="1">
        <f t="shared" si="3"/>
        <v>194</v>
      </c>
      <c r="D197" t="str">
        <f>IFERROR(VLOOKUP(Table5[[#This Row],[KODE BARANG]],Table1[[KODE BARANG]:[NAMA BARANG]],2,FALSE),"")</f>
        <v/>
      </c>
    </row>
    <row r="198" spans="1:4" x14ac:dyDescent="0.25">
      <c r="A198" s="1">
        <f t="shared" si="3"/>
        <v>195</v>
      </c>
      <c r="D198" t="str">
        <f>IFERROR(VLOOKUP(Table5[[#This Row],[KODE BARANG]],Table1[[KODE BARANG]:[NAMA BARANG]],2,FALSE),"")</f>
        <v/>
      </c>
    </row>
    <row r="199" spans="1:4" x14ac:dyDescent="0.25">
      <c r="A199" s="1">
        <f t="shared" si="3"/>
        <v>196</v>
      </c>
      <c r="D199" t="str">
        <f>IFERROR(VLOOKUP(Table5[[#This Row],[KODE BARANG]],Table1[[KODE BARANG]:[NAMA BARANG]],2,FALSE),"")</f>
        <v/>
      </c>
    </row>
    <row r="200" spans="1:4" x14ac:dyDescent="0.25">
      <c r="A200" s="1">
        <f t="shared" si="3"/>
        <v>197</v>
      </c>
      <c r="D200" t="str">
        <f>IFERROR(VLOOKUP(Table5[[#This Row],[KODE BARANG]],Table1[[KODE BARANG]:[NAMA BARANG]],2,FALSE),"")</f>
        <v/>
      </c>
    </row>
    <row r="201" spans="1:4" x14ac:dyDescent="0.25">
      <c r="A201" s="1">
        <f t="shared" si="3"/>
        <v>198</v>
      </c>
      <c r="D201" t="str">
        <f>IFERROR(VLOOKUP(Table5[[#This Row],[KODE BARANG]],Table1[[KODE BARANG]:[NAMA BARANG]],2,FALSE),"")</f>
        <v/>
      </c>
    </row>
    <row r="202" spans="1:4" x14ac:dyDescent="0.25">
      <c r="A202" s="1">
        <f t="shared" si="3"/>
        <v>199</v>
      </c>
      <c r="D202" t="str">
        <f>IFERROR(VLOOKUP(Table5[[#This Row],[KODE BARANG]],Table1[[KODE BARANG]:[NAMA BARANG]],2,FALSE),"")</f>
        <v/>
      </c>
    </row>
    <row r="203" spans="1:4" x14ac:dyDescent="0.25">
      <c r="A203" s="1">
        <f t="shared" si="3"/>
        <v>200</v>
      </c>
      <c r="D203" t="str">
        <f>IFERROR(VLOOKUP(Table5[[#This Row],[KODE BARANG]],Table1[[KODE BARANG]:[NAMA BARANG]],2,FALSE),"")</f>
        <v/>
      </c>
    </row>
    <row r="204" spans="1:4" x14ac:dyDescent="0.25">
      <c r="A204" s="1">
        <f t="shared" si="3"/>
        <v>201</v>
      </c>
      <c r="D204" t="str">
        <f>IFERROR(VLOOKUP(Table5[[#This Row],[KODE BARANG]],Table1[[KODE BARANG]:[NAMA BARANG]],2,FALSE),"")</f>
        <v/>
      </c>
    </row>
    <row r="205" spans="1:4" x14ac:dyDescent="0.25">
      <c r="A205" s="1">
        <f t="shared" si="3"/>
        <v>202</v>
      </c>
      <c r="D205" t="str">
        <f>IFERROR(VLOOKUP(Table5[[#This Row],[KODE BARANG]],Table1[[KODE BARANG]:[NAMA BARANG]],2,FALSE),"")</f>
        <v/>
      </c>
    </row>
    <row r="206" spans="1:4" x14ac:dyDescent="0.25">
      <c r="A206" s="1">
        <f t="shared" si="3"/>
        <v>203</v>
      </c>
      <c r="D206" t="str">
        <f>IFERROR(VLOOKUP(Table5[[#This Row],[KODE BARANG]],Table1[[KODE BARANG]:[NAMA BARANG]],2,FALSE),"")</f>
        <v/>
      </c>
    </row>
    <row r="207" spans="1:4" x14ac:dyDescent="0.25">
      <c r="A207" s="1">
        <f t="shared" si="3"/>
        <v>204</v>
      </c>
      <c r="D207" t="str">
        <f>IFERROR(VLOOKUP(Table5[[#This Row],[KODE BARANG]],Table1[[KODE BARANG]:[NAMA BARANG]],2,FALSE),"")</f>
        <v/>
      </c>
    </row>
    <row r="208" spans="1:4" x14ac:dyDescent="0.25">
      <c r="A208" s="1">
        <f t="shared" si="3"/>
        <v>205</v>
      </c>
      <c r="D208" t="str">
        <f>IFERROR(VLOOKUP(Table5[[#This Row],[KODE BARANG]],Table1[[KODE BARANG]:[NAMA BARANG]],2,FALSE),"")</f>
        <v/>
      </c>
    </row>
    <row r="209" spans="1:4" x14ac:dyDescent="0.25">
      <c r="A209" s="1">
        <f t="shared" si="3"/>
        <v>206</v>
      </c>
      <c r="D209" t="str">
        <f>IFERROR(VLOOKUP(Table5[[#This Row],[KODE BARANG]],Table1[[KODE BARANG]:[NAMA BARANG]],2,FALSE),"")</f>
        <v/>
      </c>
    </row>
    <row r="210" spans="1:4" x14ac:dyDescent="0.25">
      <c r="A210" s="1">
        <f t="shared" si="3"/>
        <v>207</v>
      </c>
      <c r="D210" t="str">
        <f>IFERROR(VLOOKUP(Table5[[#This Row],[KODE BARANG]],Table1[[KODE BARANG]:[NAMA BARANG]],2,FALSE),"")</f>
        <v/>
      </c>
    </row>
    <row r="211" spans="1:4" x14ac:dyDescent="0.25">
      <c r="A211" s="1">
        <f t="shared" si="3"/>
        <v>208</v>
      </c>
      <c r="D211" t="str">
        <f>IFERROR(VLOOKUP(Table5[[#This Row],[KODE BARANG]],Table1[[KODE BARANG]:[NAMA BARANG]],2,FALSE),"")</f>
        <v/>
      </c>
    </row>
    <row r="212" spans="1:4" x14ac:dyDescent="0.25">
      <c r="A212" s="1">
        <f t="shared" si="3"/>
        <v>209</v>
      </c>
      <c r="D212" t="str">
        <f>IFERROR(VLOOKUP(Table5[[#This Row],[KODE BARANG]],Table1[[KODE BARANG]:[NAMA BARANG]],2,FALSE),"")</f>
        <v/>
      </c>
    </row>
    <row r="213" spans="1:4" x14ac:dyDescent="0.25">
      <c r="A213" s="1">
        <f t="shared" si="3"/>
        <v>210</v>
      </c>
      <c r="D213" t="str">
        <f>IFERROR(VLOOKUP(Table5[[#This Row],[KODE BARANG]],Table1[[KODE BARANG]:[NAMA BARANG]],2,FALSE),"")</f>
        <v/>
      </c>
    </row>
    <row r="214" spans="1:4" x14ac:dyDescent="0.25">
      <c r="A214" s="1">
        <f t="shared" si="3"/>
        <v>211</v>
      </c>
      <c r="D214" t="str">
        <f>IFERROR(VLOOKUP(Table5[[#This Row],[KODE BARANG]],Table1[[KODE BARANG]:[NAMA BARANG]],2,FALSE),"")</f>
        <v/>
      </c>
    </row>
    <row r="215" spans="1:4" x14ac:dyDescent="0.25">
      <c r="A215" s="1">
        <f t="shared" si="3"/>
        <v>212</v>
      </c>
      <c r="D215" t="str">
        <f>IFERROR(VLOOKUP(Table5[[#This Row],[KODE BARANG]],Table1[[KODE BARANG]:[NAMA BARANG]],2,FALSE),"")</f>
        <v/>
      </c>
    </row>
    <row r="216" spans="1:4" x14ac:dyDescent="0.25">
      <c r="A216" s="1">
        <f t="shared" si="3"/>
        <v>213</v>
      </c>
      <c r="D216" t="str">
        <f>IFERROR(VLOOKUP(Table5[[#This Row],[KODE BARANG]],Table1[[KODE BARANG]:[NAMA BARANG]],2,FALSE),"")</f>
        <v/>
      </c>
    </row>
    <row r="217" spans="1:4" x14ac:dyDescent="0.25">
      <c r="A217" s="1">
        <f t="shared" si="3"/>
        <v>214</v>
      </c>
      <c r="D217" t="str">
        <f>IFERROR(VLOOKUP(Table5[[#This Row],[KODE BARANG]],Table1[[KODE BARANG]:[NAMA BARANG]],2,FALSE),"")</f>
        <v/>
      </c>
    </row>
    <row r="218" spans="1:4" x14ac:dyDescent="0.25">
      <c r="A218" s="1">
        <f t="shared" si="3"/>
        <v>215</v>
      </c>
      <c r="D218" t="str">
        <f>IFERROR(VLOOKUP(Table5[[#This Row],[KODE BARANG]],Table1[[KODE BARANG]:[NAMA BARANG]],2,FALSE),"")</f>
        <v/>
      </c>
    </row>
    <row r="219" spans="1:4" x14ac:dyDescent="0.25">
      <c r="A219" s="1">
        <f t="shared" si="3"/>
        <v>216</v>
      </c>
      <c r="D219" t="str">
        <f>IFERROR(VLOOKUP(Table5[[#This Row],[KODE BARANG]],Table1[[KODE BARANG]:[NAMA BARANG]],2,FALSE),"")</f>
        <v/>
      </c>
    </row>
    <row r="220" spans="1:4" x14ac:dyDescent="0.25">
      <c r="A220" s="1">
        <f t="shared" si="3"/>
        <v>217</v>
      </c>
      <c r="D220" t="str">
        <f>IFERROR(VLOOKUP(Table5[[#This Row],[KODE BARANG]],Table1[[KODE BARANG]:[NAMA BARANG]],2,FALSE),"")</f>
        <v/>
      </c>
    </row>
    <row r="221" spans="1:4" x14ac:dyDescent="0.25">
      <c r="A221" s="1">
        <f t="shared" si="3"/>
        <v>218</v>
      </c>
      <c r="D221" t="str">
        <f>IFERROR(VLOOKUP(Table5[[#This Row],[KODE BARANG]],Table1[[KODE BARANG]:[NAMA BARANG]],2,FALSE),"")</f>
        <v/>
      </c>
    </row>
    <row r="222" spans="1:4" x14ac:dyDescent="0.25">
      <c r="A222" s="1">
        <f t="shared" si="3"/>
        <v>219</v>
      </c>
      <c r="D222" t="str">
        <f>IFERROR(VLOOKUP(Table5[[#This Row],[KODE BARANG]],Table1[[KODE BARANG]:[NAMA BARANG]],2,FALSE),"")</f>
        <v/>
      </c>
    </row>
    <row r="223" spans="1:4" x14ac:dyDescent="0.25">
      <c r="A223" s="1">
        <f t="shared" si="3"/>
        <v>220</v>
      </c>
      <c r="D223" t="str">
        <f>IFERROR(VLOOKUP(Table5[[#This Row],[KODE BARANG]],Table1[[KODE BARANG]:[NAMA BARANG]],2,FALSE),"")</f>
        <v/>
      </c>
    </row>
    <row r="224" spans="1:4" x14ac:dyDescent="0.25">
      <c r="A224" s="1">
        <f t="shared" si="3"/>
        <v>221</v>
      </c>
      <c r="D224" t="str">
        <f>IFERROR(VLOOKUP(Table5[[#This Row],[KODE BARANG]],Table1[[KODE BARANG]:[NAMA BARANG]],2,FALSE),"")</f>
        <v/>
      </c>
    </row>
    <row r="225" spans="1:4" x14ac:dyDescent="0.25">
      <c r="A225" s="1">
        <f t="shared" si="3"/>
        <v>222</v>
      </c>
      <c r="D225" t="str">
        <f>IFERROR(VLOOKUP(Table5[[#This Row],[KODE BARANG]],Table1[[KODE BARANG]:[NAMA BARANG]],2,FALSE),"")</f>
        <v/>
      </c>
    </row>
    <row r="226" spans="1:4" x14ac:dyDescent="0.25">
      <c r="A226" s="1">
        <f t="shared" si="3"/>
        <v>223</v>
      </c>
      <c r="D226" t="str">
        <f>IFERROR(VLOOKUP(Table5[[#This Row],[KODE BARANG]],Table1[[KODE BARANG]:[NAMA BARANG]],2,FALSE),"")</f>
        <v/>
      </c>
    </row>
    <row r="227" spans="1:4" x14ac:dyDescent="0.25">
      <c r="A227" s="1">
        <f t="shared" si="3"/>
        <v>224</v>
      </c>
      <c r="D227" t="str">
        <f>IFERROR(VLOOKUP(Table5[[#This Row],[KODE BARANG]],Table1[[KODE BARANG]:[NAMA BARANG]],2,FALSE),"")</f>
        <v/>
      </c>
    </row>
    <row r="228" spans="1:4" x14ac:dyDescent="0.25">
      <c r="A228" s="1">
        <f t="shared" si="3"/>
        <v>225</v>
      </c>
      <c r="D228" t="str">
        <f>IFERROR(VLOOKUP(Table5[[#This Row],[KODE BARANG]],Table1[[KODE BARANG]:[NAMA BARANG]],2,FALSE),"")</f>
        <v/>
      </c>
    </row>
    <row r="229" spans="1:4" x14ac:dyDescent="0.25">
      <c r="A229" s="1">
        <f t="shared" si="3"/>
        <v>226</v>
      </c>
      <c r="D229" t="str">
        <f>IFERROR(VLOOKUP(Table5[[#This Row],[KODE BARANG]],Table1[[KODE BARANG]:[NAMA BARANG]],2,FALSE),"")</f>
        <v/>
      </c>
    </row>
    <row r="230" spans="1:4" x14ac:dyDescent="0.25">
      <c r="A230" s="1">
        <f t="shared" si="3"/>
        <v>227</v>
      </c>
      <c r="D230" t="str">
        <f>IFERROR(VLOOKUP(Table5[[#This Row],[KODE BARANG]],Table1[[KODE BARANG]:[NAMA BARANG]],2,FALSE),"")</f>
        <v/>
      </c>
    </row>
    <row r="231" spans="1:4" x14ac:dyDescent="0.25">
      <c r="A231" s="1">
        <f t="shared" si="3"/>
        <v>228</v>
      </c>
      <c r="D231" t="str">
        <f>IFERROR(VLOOKUP(Table5[[#This Row],[KODE BARANG]],Table1[[KODE BARANG]:[NAMA BARANG]],2,FALSE),"")</f>
        <v/>
      </c>
    </row>
    <row r="232" spans="1:4" x14ac:dyDescent="0.25">
      <c r="A232" s="1">
        <f t="shared" si="3"/>
        <v>229</v>
      </c>
      <c r="D232" t="str">
        <f>IFERROR(VLOOKUP(Table5[[#This Row],[KODE BARANG]],Table1[[KODE BARANG]:[NAMA BARANG]],2,FALSE),"")</f>
        <v/>
      </c>
    </row>
    <row r="233" spans="1:4" x14ac:dyDescent="0.25">
      <c r="A233" s="1">
        <f t="shared" si="3"/>
        <v>230</v>
      </c>
      <c r="D233" t="str">
        <f>IFERROR(VLOOKUP(Table5[[#This Row],[KODE BARANG]],Table1[[KODE BARANG]:[NAMA BARANG]],2,FALSE),"")</f>
        <v/>
      </c>
    </row>
    <row r="234" spans="1:4" x14ac:dyDescent="0.25">
      <c r="A234" s="1">
        <f t="shared" si="3"/>
        <v>231</v>
      </c>
      <c r="D234" t="str">
        <f>IFERROR(VLOOKUP(Table5[[#This Row],[KODE BARANG]],Table1[[KODE BARANG]:[NAMA BARANG]],2,FALSE),"")</f>
        <v/>
      </c>
    </row>
    <row r="235" spans="1:4" x14ac:dyDescent="0.25">
      <c r="A235" s="1">
        <f t="shared" si="3"/>
        <v>232</v>
      </c>
      <c r="D235" t="str">
        <f>IFERROR(VLOOKUP(Table5[[#This Row],[KODE BARANG]],Table1[[KODE BARANG]:[NAMA BARANG]],2,FALSE),"")</f>
        <v/>
      </c>
    </row>
    <row r="236" spans="1:4" x14ac:dyDescent="0.25">
      <c r="A236" s="1">
        <f t="shared" si="3"/>
        <v>233</v>
      </c>
      <c r="D236" t="str">
        <f>IFERROR(VLOOKUP(Table5[[#This Row],[KODE BARANG]],Table1[[KODE BARANG]:[NAMA BARANG]],2,FALSE),"")</f>
        <v/>
      </c>
    </row>
    <row r="237" spans="1:4" x14ac:dyDescent="0.25">
      <c r="A237" s="1">
        <f t="shared" si="3"/>
        <v>234</v>
      </c>
      <c r="D237" t="str">
        <f>IFERROR(VLOOKUP(Table5[[#This Row],[KODE BARANG]],Table1[[KODE BARANG]:[NAMA BARANG]],2,FALSE),"")</f>
        <v/>
      </c>
    </row>
    <row r="238" spans="1:4" x14ac:dyDescent="0.25">
      <c r="A238" s="1">
        <f t="shared" si="3"/>
        <v>235</v>
      </c>
      <c r="D238" t="str">
        <f>IFERROR(VLOOKUP(Table5[[#This Row],[KODE BARANG]],Table1[[KODE BARANG]:[NAMA BARANG]],2,FALSE),"")</f>
        <v/>
      </c>
    </row>
    <row r="239" spans="1:4" x14ac:dyDescent="0.25">
      <c r="A239" s="1">
        <f t="shared" si="3"/>
        <v>236</v>
      </c>
      <c r="D239" t="str">
        <f>IFERROR(VLOOKUP(Table5[[#This Row],[KODE BARANG]],Table1[[KODE BARANG]:[NAMA BARANG]],2,FALSE),"")</f>
        <v/>
      </c>
    </row>
    <row r="240" spans="1:4" x14ac:dyDescent="0.25">
      <c r="A240" s="1">
        <f t="shared" si="3"/>
        <v>237</v>
      </c>
      <c r="D240" t="str">
        <f>IFERROR(VLOOKUP(Table5[[#This Row],[KODE BARANG]],Table1[[KODE BARANG]:[NAMA BARANG]],2,FALSE),"")</f>
        <v/>
      </c>
    </row>
    <row r="241" spans="1:4" x14ac:dyDescent="0.25">
      <c r="A241" s="1">
        <f t="shared" si="3"/>
        <v>238</v>
      </c>
      <c r="D241" t="str">
        <f>IFERROR(VLOOKUP(Table5[[#This Row],[KODE BARANG]],Table1[[KODE BARANG]:[NAMA BARANG]],2,FALSE),"")</f>
        <v/>
      </c>
    </row>
    <row r="242" spans="1:4" x14ac:dyDescent="0.25">
      <c r="A242" s="1">
        <f t="shared" si="3"/>
        <v>239</v>
      </c>
      <c r="D242" t="str">
        <f>IFERROR(VLOOKUP(Table5[[#This Row],[KODE BARANG]],Table1[[KODE BARANG]:[NAMA BARANG]],2,FALSE),"")</f>
        <v/>
      </c>
    </row>
    <row r="243" spans="1:4" x14ac:dyDescent="0.25">
      <c r="A243" s="1">
        <f t="shared" si="3"/>
        <v>240</v>
      </c>
      <c r="D243" t="str">
        <f>IFERROR(VLOOKUP(Table5[[#This Row],[KODE BARANG]],Table1[[KODE BARANG]:[NAMA BARANG]],2,FALSE),"")</f>
        <v/>
      </c>
    </row>
    <row r="244" spans="1:4" x14ac:dyDescent="0.25">
      <c r="A244" s="1">
        <f t="shared" si="3"/>
        <v>241</v>
      </c>
      <c r="D244" t="str">
        <f>IFERROR(VLOOKUP(Table5[[#This Row],[KODE BARANG]],Table1[[KODE BARANG]:[NAMA BARANG]],2,FALSE),"")</f>
        <v/>
      </c>
    </row>
    <row r="245" spans="1:4" x14ac:dyDescent="0.25">
      <c r="A245" s="1">
        <f t="shared" si="3"/>
        <v>242</v>
      </c>
      <c r="D245" t="str">
        <f>IFERROR(VLOOKUP(Table5[[#This Row],[KODE BARANG]],Table1[[KODE BARANG]:[NAMA BARANG]],2,FALSE),"")</f>
        <v/>
      </c>
    </row>
    <row r="246" spans="1:4" x14ac:dyDescent="0.25">
      <c r="A246" s="1">
        <f t="shared" si="3"/>
        <v>243</v>
      </c>
      <c r="D246" t="str">
        <f>IFERROR(VLOOKUP(Table5[[#This Row],[KODE BARANG]],Table1[[KODE BARANG]:[NAMA BARANG]],2,FALSE),"")</f>
        <v/>
      </c>
    </row>
    <row r="247" spans="1:4" x14ac:dyDescent="0.25">
      <c r="A247" s="1">
        <f t="shared" si="3"/>
        <v>244</v>
      </c>
      <c r="D247" t="str">
        <f>IFERROR(VLOOKUP(Table5[[#This Row],[KODE BARANG]],Table1[[KODE BARANG]:[NAMA BARANG]],2,FALSE),"")</f>
        <v/>
      </c>
    </row>
    <row r="248" spans="1:4" x14ac:dyDescent="0.25">
      <c r="A248" s="1">
        <f t="shared" si="3"/>
        <v>245</v>
      </c>
      <c r="D248" t="str">
        <f>IFERROR(VLOOKUP(Table5[[#This Row],[KODE BARANG]],Table1[[KODE BARANG]:[NAMA BARANG]],2,FALSE),"")</f>
        <v/>
      </c>
    </row>
    <row r="249" spans="1:4" x14ac:dyDescent="0.25">
      <c r="A249" s="1">
        <f t="shared" si="3"/>
        <v>246</v>
      </c>
      <c r="D249" t="str">
        <f>IFERROR(VLOOKUP(Table5[[#This Row],[KODE BARANG]],Table1[[KODE BARANG]:[NAMA BARANG]],2,FALSE),"")</f>
        <v/>
      </c>
    </row>
  </sheetData>
  <mergeCells count="1">
    <mergeCell ref="A1:F1"/>
  </mergeCells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484209-503B-4A9D-8D97-04D6549E83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BARANG</vt:lpstr>
      <vt:lpstr>BARANG MASUK</vt:lpstr>
      <vt:lpstr>BARANG KELUAR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MIIX_A_2</dc:creator>
  <cp:lastModifiedBy>MIIX_A_2</cp:lastModifiedBy>
  <dcterms:created xsi:type="dcterms:W3CDTF">2026-08-19T10:32:12Z</dcterms:created>
  <dcterms:modified xsi:type="dcterms:W3CDTF">2026-09-24T08:45:04Z</dcterms:modified>
</cp:coreProperties>
</file>